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668"/>
  <workbookPr filterPrivacy="1" hidePivotFieldList="1"/>
  <bookViews>
    <workbookView xWindow="0" yWindow="0" windowWidth="25200" windowHeight="11850" tabRatio="861"/>
  </bookViews>
  <sheets>
    <sheet name="Dashboard" sheetId="27" r:id="rId1"/>
    <sheet name="Checking" sheetId="7" r:id="rId2"/>
    <sheet name="Credit Card 1" sheetId="9" r:id="rId3"/>
    <sheet name="Credit Card 2" sheetId="17" r:id="rId4"/>
    <sheet name="Budget" sheetId="25" r:id="rId5"/>
    <sheet name="Setup" sheetId="8" r:id="rId6"/>
  </sheets>
  <definedNames>
    <definedName name="_xlnm._FilterDatabase" localSheetId="1" hidden="1">Checking!$A$1:$C$3</definedName>
    <definedName name="AccountLookup">Setup!$I$3:$I$5</definedName>
    <definedName name="BudgetMonths">Budget!$B$2:$M$2</definedName>
    <definedName name="BudgetName">Setup!$A$1</definedName>
    <definedName name="CategoryLookup">MasterCategories[Category]</definedName>
    <definedName name="chtTitle">Dashboard!$I$3</definedName>
    <definedName name="dashboard_period">Dashboard!$B$1</definedName>
    <definedName name="expense_categories">Setup!$B$5:$B$16</definedName>
    <definedName name="income">Setup!$B$4</definedName>
    <definedName name="Max_Limit" localSheetId="3">'Credit Card 2'!$K$1</definedName>
    <definedName name="Max_Limit">'Credit Card 1'!$K$1</definedName>
    <definedName name="MonthNames">Setup!$H$3:$H$15</definedName>
    <definedName name="Net_Income">Budget!$B$7:$O$7</definedName>
    <definedName name="PeriodLookup">Setup!$G$3:$H$15</definedName>
    <definedName name="_xlnm.Print_Titles" localSheetId="4">Budget!$2:$3</definedName>
    <definedName name="_xlnm.Print_Titles" localSheetId="1">Checking!$A:$C,Checking!$3:$3</definedName>
    <definedName name="_xlnm.Print_Titles" localSheetId="2">'Credit Card 1'!$A:$C,'Credit Card 1'!$3:$3</definedName>
    <definedName name="_xlnm.Print_Titles" localSheetId="3">'Credit Card 2'!$A:$C,'Credit Card 2'!$3:$3</definedName>
    <definedName name="seriesBudgetPeriod">OFFSET(Budget!$A$2,0,COUNTA(Budget!$2:$2)-1,1,1)</definedName>
    <definedName name="seriesNetIncome">OFFSET(Budget!$A$7,0,INDEX(PeriodLookup,MATCH(start_period,MonthNames,0),1),1,INDEX(PeriodLookup,MATCH(dashboard_period,MonthNames,0),1))</definedName>
    <definedName name="seriesTotalCashFlow">OFFSET(Budget!$A$8,0,INDEX(PeriodLookup,MATCH(start_period,MonthNames,0),1),1,INDEX(PeriodLookup,MATCH(dashboard_period,MonthNames,0),1))</definedName>
    <definedName name="seriesTotalExpenses">OFFSET(Budget!$A$6,0,INDEX(PeriodLookup,MATCH(start_period,MonthNames,0),1),1,INDEX(PeriodLookup,MATCH(dashboard_period,MonthNames,0),1))</definedName>
    <definedName name="seriesTotalIncome">OFFSET(Budget!$A$5,0,INDEX(PeriodLookup,MATCH(start_period,MonthNames,0),1),1,INDEX(PeriodLookup,MATCH(dashboard_period,MonthNames,0),1))</definedName>
    <definedName name="start_period">Budget!$B$2</definedName>
    <definedName name="StartingBalance">Budget!$B$4</definedName>
    <definedName name="TOTAL_CASH_FLOW">Budget!$B$8:$O$8</definedName>
    <definedName name="Total_Expense">Budget!$B$6:$O$6</definedName>
    <definedName name="Total_Income">Budget!$B$5:$O$5</definedName>
    <definedName name="TotalMonthlyExpenses">#REF!</definedName>
    <definedName name="TotalMonthlyIncome">#REF!</definedName>
    <definedName name="TotalMonthlySavings">#REF!</definedName>
    <definedName name="Transaction" localSheetId="2">RegisterCC1[#All]</definedName>
    <definedName name="Transaction" localSheetId="3">RegisterCC2[#All]</definedName>
    <definedName name="Transaction">RegisterChk[#All]</definedName>
    <definedName name="Years_Lookup">Setup!$K$3:$K$9</definedName>
  </definedNames>
  <calcPr calcId="171027"/>
</workbook>
</file>

<file path=xl/calcChain.xml><?xml version="1.0" encoding="utf-8"?>
<calcChain xmlns="http://schemas.openxmlformats.org/spreadsheetml/2006/main">
  <c r="N5" i="17" l="1"/>
  <c r="N5" i="9"/>
  <c r="M12" i="7"/>
  <c r="N12" i="7"/>
  <c r="M11" i="7"/>
  <c r="N11" i="7"/>
  <c r="M10" i="7"/>
  <c r="N10" i="7"/>
  <c r="M9" i="7"/>
  <c r="N9" i="7"/>
  <c r="M8" i="7"/>
  <c r="N8" i="7"/>
  <c r="M7" i="7"/>
  <c r="N7" i="7"/>
  <c r="M6" i="7"/>
  <c r="N6" i="7"/>
  <c r="M5" i="7"/>
  <c r="N5" i="7"/>
  <c r="A1" i="8"/>
  <c r="I3" i="8"/>
  <c r="J4" i="7" l="1"/>
  <c r="J5" i="7" s="1"/>
  <c r="J6" i="7" s="1"/>
  <c r="J7" i="7" s="1"/>
  <c r="J8" i="7" s="1"/>
  <c r="J9" i="7" s="1"/>
  <c r="J10" i="7" s="1"/>
  <c r="J11" i="7" s="1"/>
  <c r="J12" i="7" s="1"/>
  <c r="N4" i="7"/>
  <c r="M4" i="7"/>
  <c r="N3" i="27"/>
  <c r="C1" i="27"/>
  <c r="I3" i="27"/>
  <c r="F3" i="27"/>
  <c r="A41" i="25"/>
  <c r="A48" i="25"/>
  <c r="I5" i="8"/>
  <c r="I4" i="8"/>
  <c r="N4" i="17"/>
  <c r="N4" i="9"/>
  <c r="A118" i="25"/>
  <c r="A111" i="25"/>
  <c r="A104" i="25"/>
  <c r="A97" i="25"/>
  <c r="A90" i="25"/>
  <c r="A83" i="25"/>
  <c r="A76" i="25"/>
  <c r="A69" i="25"/>
  <c r="A62" i="25"/>
  <c r="A55" i="25"/>
  <c r="A34" i="25"/>
  <c r="A27" i="25"/>
  <c r="A20" i="25"/>
  <c r="B5" i="7"/>
  <c r="B6" i="7"/>
  <c r="B7" i="7"/>
  <c r="B8" i="7"/>
  <c r="B9" i="7"/>
  <c r="B10" i="7"/>
  <c r="B11" i="7"/>
  <c r="B12" i="7"/>
  <c r="B13" i="7"/>
  <c r="B14" i="7"/>
  <c r="B15" i="7"/>
  <c r="B16" i="7"/>
  <c r="B17" i="7"/>
  <c r="B17" i="17"/>
  <c r="B16" i="17"/>
  <c r="B15" i="17"/>
  <c r="B14" i="17"/>
  <c r="B13" i="17"/>
  <c r="B12" i="17"/>
  <c r="B11" i="17"/>
  <c r="B10" i="17"/>
  <c r="B9" i="17"/>
  <c r="B8" i="17"/>
  <c r="B7" i="17"/>
  <c r="B6" i="17"/>
  <c r="B5" i="17"/>
  <c r="J4" i="17"/>
  <c r="F1" i="17"/>
  <c r="F1" i="9"/>
  <c r="J4" i="9"/>
  <c r="J5" i="9" s="1"/>
  <c r="B16" i="9"/>
  <c r="B5" i="9"/>
  <c r="B6" i="9"/>
  <c r="B7" i="9"/>
  <c r="B8" i="9"/>
  <c r="B9" i="9"/>
  <c r="B10" i="9"/>
  <c r="B11" i="9"/>
  <c r="B12" i="9"/>
  <c r="B13" i="9"/>
  <c r="B14" i="9"/>
  <c r="B15" i="9"/>
  <c r="B17" i="9"/>
  <c r="F1" i="7"/>
  <c r="K4" i="17" l="1"/>
  <c r="J5" i="17"/>
  <c r="K5" i="17" s="1"/>
  <c r="B4" i="25"/>
  <c r="B18" i="25"/>
  <c r="C19" i="25"/>
  <c r="B46" i="25"/>
  <c r="B115" i="25"/>
  <c r="G32" i="25"/>
  <c r="G40" i="25"/>
  <c r="B24" i="25"/>
  <c r="B17" i="25"/>
  <c r="G12" i="25"/>
  <c r="G5" i="25" s="1"/>
  <c r="C46" i="25"/>
  <c r="I18" i="25"/>
  <c r="I66" i="25"/>
  <c r="F24" i="25"/>
  <c r="F115" i="25"/>
  <c r="C31" i="25"/>
  <c r="M46" i="25"/>
  <c r="E89" i="25"/>
  <c r="B19" i="25"/>
  <c r="B110" i="25"/>
  <c r="K24" i="25"/>
  <c r="F25" i="25"/>
  <c r="I38" i="25"/>
  <c r="L103" i="25"/>
  <c r="J33" i="25"/>
  <c r="K25" i="25"/>
  <c r="H33" i="25"/>
  <c r="C102" i="25"/>
  <c r="J46" i="25"/>
  <c r="C18" i="25"/>
  <c r="G31" i="25"/>
  <c r="B80" i="25"/>
  <c r="J61" i="25"/>
  <c r="J19" i="25"/>
  <c r="F75" i="25"/>
  <c r="K32" i="25"/>
  <c r="J102" i="25"/>
  <c r="B31" i="25"/>
  <c r="K40" i="25"/>
  <c r="J59" i="25"/>
  <c r="F47" i="25"/>
  <c r="K45" i="25"/>
  <c r="F82" i="25"/>
  <c r="J67" i="25"/>
  <c r="J103" i="25"/>
  <c r="F94" i="25"/>
  <c r="F32" i="25"/>
  <c r="B117" i="25"/>
  <c r="F33" i="25"/>
  <c r="B74" i="25"/>
  <c r="B82" i="25"/>
  <c r="F40" i="25"/>
  <c r="H18" i="25"/>
  <c r="B12" i="25"/>
  <c r="B13" i="25" s="1"/>
  <c r="J17" i="25"/>
  <c r="F19" i="25"/>
  <c r="J38" i="25"/>
  <c r="F87" i="25"/>
  <c r="K12" i="25"/>
  <c r="K5" i="25" s="1"/>
  <c r="G19" i="25"/>
  <c r="C26" i="25"/>
  <c r="K33" i="25"/>
  <c r="B73" i="25"/>
  <c r="D17" i="25"/>
  <c r="D40" i="25"/>
  <c r="J31" i="25"/>
  <c r="E25" i="25"/>
  <c r="C66" i="25"/>
  <c r="H47" i="25"/>
  <c r="J18" i="25"/>
  <c r="B26" i="25"/>
  <c r="J45" i="25"/>
  <c r="K17" i="25"/>
  <c r="G24" i="25"/>
  <c r="C38" i="25"/>
  <c r="J95" i="25"/>
  <c r="D24" i="25"/>
  <c r="J60" i="25"/>
  <c r="G75" i="25"/>
  <c r="D81" i="25"/>
  <c r="M115" i="25"/>
  <c r="C39" i="25"/>
  <c r="G39" i="25"/>
  <c r="L26" i="25"/>
  <c r="H17" i="25"/>
  <c r="K88" i="25"/>
  <c r="G52" i="25"/>
  <c r="J12" i="25"/>
  <c r="L53" i="25"/>
  <c r="J24" i="25"/>
  <c r="F12" i="25"/>
  <c r="F5" i="25" s="1"/>
  <c r="J32" i="25"/>
  <c r="F18" i="25"/>
  <c r="B45" i="25"/>
  <c r="B25" i="25"/>
  <c r="F67" i="25"/>
  <c r="B32" i="25"/>
  <c r="J108" i="25"/>
  <c r="C12" i="25"/>
  <c r="G17" i="25"/>
  <c r="J96" i="25"/>
  <c r="K18" i="25"/>
  <c r="J116" i="25"/>
  <c r="C24" i="25"/>
  <c r="C17" i="25"/>
  <c r="G25" i="25"/>
  <c r="G18" i="25"/>
  <c r="K26" i="25"/>
  <c r="K19" i="25"/>
  <c r="C32" i="25"/>
  <c r="G33" i="25"/>
  <c r="G26" i="25"/>
  <c r="K38" i="25"/>
  <c r="K31" i="25"/>
  <c r="B81" i="25"/>
  <c r="D25" i="25"/>
  <c r="L31" i="25"/>
  <c r="H38" i="25"/>
  <c r="D45" i="25"/>
  <c r="F61" i="25"/>
  <c r="B88" i="25"/>
  <c r="J110" i="25"/>
  <c r="B39" i="25"/>
  <c r="J88" i="25"/>
  <c r="M12" i="25"/>
  <c r="I19" i="25"/>
  <c r="E31" i="25"/>
  <c r="I40" i="25"/>
  <c r="J81" i="25"/>
  <c r="K47" i="25"/>
  <c r="C68" i="25"/>
  <c r="G81" i="25"/>
  <c r="K94" i="25"/>
  <c r="C108" i="25"/>
  <c r="H66" i="25"/>
  <c r="D89" i="25"/>
  <c r="L115" i="25"/>
  <c r="I74" i="25"/>
  <c r="E101" i="25"/>
  <c r="K53" i="25"/>
  <c r="B109" i="25"/>
  <c r="L18" i="25"/>
  <c r="H25" i="25"/>
  <c r="D32" i="25"/>
  <c r="L38" i="25"/>
  <c r="H45" i="25"/>
  <c r="J66" i="25"/>
  <c r="F89" i="25"/>
  <c r="B116" i="25"/>
  <c r="J39" i="25"/>
  <c r="F95" i="25"/>
  <c r="E17" i="25"/>
  <c r="M19" i="25"/>
  <c r="M31" i="25"/>
  <c r="E45" i="25"/>
  <c r="F88" i="25"/>
  <c r="G59" i="25"/>
  <c r="K68" i="25"/>
  <c r="C82" i="25"/>
  <c r="G95" i="25"/>
  <c r="K108" i="25"/>
  <c r="L67" i="25"/>
  <c r="H94" i="25"/>
  <c r="D117" i="25"/>
  <c r="M75" i="25"/>
  <c r="I102" i="25"/>
  <c r="J52" i="25"/>
  <c r="D12" i="25"/>
  <c r="L19" i="25"/>
  <c r="H26" i="25"/>
  <c r="D33" i="25"/>
  <c r="L39" i="25"/>
  <c r="H46" i="25"/>
  <c r="J74" i="25"/>
  <c r="F101" i="25"/>
  <c r="J26" i="25"/>
  <c r="F46" i="25"/>
  <c r="L12" i="25"/>
  <c r="E18" i="25"/>
  <c r="M24" i="25"/>
  <c r="M33" i="25"/>
  <c r="B59" i="25"/>
  <c r="F108" i="25"/>
  <c r="G61" i="25"/>
  <c r="K74" i="25"/>
  <c r="C88" i="25"/>
  <c r="G101" i="25"/>
  <c r="K116" i="25"/>
  <c r="L75" i="25"/>
  <c r="H102" i="25"/>
  <c r="E61" i="25"/>
  <c r="M87" i="25"/>
  <c r="I110" i="25"/>
  <c r="M53" i="25"/>
  <c r="I52" i="25"/>
  <c r="L54" i="25"/>
  <c r="H53" i="25"/>
  <c r="D52" i="25"/>
  <c r="K54" i="25"/>
  <c r="G53" i="25"/>
  <c r="C52" i="25"/>
  <c r="B52" i="25"/>
  <c r="M116" i="25"/>
  <c r="I115" i="25"/>
  <c r="E110" i="25"/>
  <c r="M108" i="25"/>
  <c r="I103" i="25"/>
  <c r="E102" i="25"/>
  <c r="M96" i="25"/>
  <c r="I95" i="25"/>
  <c r="E94" i="25"/>
  <c r="M88" i="25"/>
  <c r="I87" i="25"/>
  <c r="E82" i="25"/>
  <c r="M80" i="25"/>
  <c r="I75" i="25"/>
  <c r="E74" i="25"/>
  <c r="M68" i="25"/>
  <c r="I67" i="25"/>
  <c r="E66" i="25"/>
  <c r="M60" i="25"/>
  <c r="I59" i="25"/>
  <c r="E47" i="25"/>
  <c r="L116" i="25"/>
  <c r="H115" i="25"/>
  <c r="D110" i="25"/>
  <c r="L108" i="25"/>
  <c r="H103" i="25"/>
  <c r="D102" i="25"/>
  <c r="L96" i="25"/>
  <c r="H95" i="25"/>
  <c r="D94" i="25"/>
  <c r="L88" i="25"/>
  <c r="H87" i="25"/>
  <c r="D82" i="25"/>
  <c r="L80" i="25"/>
  <c r="H75" i="25"/>
  <c r="D74" i="25"/>
  <c r="L68" i="25"/>
  <c r="H67" i="25"/>
  <c r="D66" i="25"/>
  <c r="L60" i="25"/>
  <c r="H59" i="25"/>
  <c r="K117" i="25"/>
  <c r="G116" i="25"/>
  <c r="C115" i="25"/>
  <c r="K109" i="25"/>
  <c r="G108" i="25"/>
  <c r="C103" i="25"/>
  <c r="K101" i="25"/>
  <c r="G96" i="25"/>
  <c r="C95" i="25"/>
  <c r="K89" i="25"/>
  <c r="G88" i="25"/>
  <c r="C87" i="25"/>
  <c r="K81" i="25"/>
  <c r="G80" i="25"/>
  <c r="C75" i="25"/>
  <c r="K73" i="25"/>
  <c r="G68" i="25"/>
  <c r="C67" i="25"/>
  <c r="K61" i="25"/>
  <c r="G60" i="25"/>
  <c r="C59" i="25"/>
  <c r="K46" i="25"/>
  <c r="J109" i="25"/>
  <c r="F96" i="25"/>
  <c r="B87" i="25"/>
  <c r="J73" i="25"/>
  <c r="F60" i="25"/>
  <c r="E46" i="25"/>
  <c r="M40" i="25"/>
  <c r="I39" i="25"/>
  <c r="E38" i="25"/>
  <c r="M32" i="25"/>
  <c r="I31" i="25"/>
  <c r="E26" i="25"/>
  <c r="M54" i="25"/>
  <c r="I53" i="25"/>
  <c r="E52" i="25"/>
  <c r="H54" i="25"/>
  <c r="D53" i="25"/>
  <c r="J54" i="25"/>
  <c r="G54" i="25"/>
  <c r="C53" i="25"/>
  <c r="F54" i="25"/>
  <c r="M117" i="25"/>
  <c r="I116" i="25"/>
  <c r="E115" i="25"/>
  <c r="M109" i="25"/>
  <c r="I108" i="25"/>
  <c r="E103" i="25"/>
  <c r="M101" i="25"/>
  <c r="I96" i="25"/>
  <c r="E95" i="25"/>
  <c r="M89" i="25"/>
  <c r="I88" i="25"/>
  <c r="E87" i="25"/>
  <c r="M81" i="25"/>
  <c r="I80" i="25"/>
  <c r="E75" i="25"/>
  <c r="M73" i="25"/>
  <c r="I68" i="25"/>
  <c r="E67" i="25"/>
  <c r="M61" i="25"/>
  <c r="I60" i="25"/>
  <c r="E59" i="25"/>
  <c r="L117" i="25"/>
  <c r="H116" i="25"/>
  <c r="D115" i="25"/>
  <c r="L109" i="25"/>
  <c r="H108" i="25"/>
  <c r="D103" i="25"/>
  <c r="L101" i="25"/>
  <c r="H96" i="25"/>
  <c r="D95" i="25"/>
  <c r="L89" i="25"/>
  <c r="H88" i="25"/>
  <c r="D87" i="25"/>
  <c r="L81" i="25"/>
  <c r="H80" i="25"/>
  <c r="D75" i="25"/>
  <c r="L73" i="25"/>
  <c r="H68" i="25"/>
  <c r="D67" i="25"/>
  <c r="L61" i="25"/>
  <c r="H60" i="25"/>
  <c r="D59" i="25"/>
  <c r="G117" i="25"/>
  <c r="C116" i="25"/>
  <c r="K110" i="25"/>
  <c r="G109" i="25"/>
  <c r="I54" i="25"/>
  <c r="E53" i="25"/>
  <c r="F53" i="25"/>
  <c r="D54" i="25"/>
  <c r="L52" i="25"/>
  <c r="B54" i="25"/>
  <c r="C54" i="25"/>
  <c r="K52" i="25"/>
  <c r="J53" i="25"/>
  <c r="I117" i="25"/>
  <c r="E116" i="25"/>
  <c r="M110" i="25"/>
  <c r="I109" i="25"/>
  <c r="E108" i="25"/>
  <c r="M102" i="25"/>
  <c r="I101" i="25"/>
  <c r="E96" i="25"/>
  <c r="M94" i="25"/>
  <c r="I89" i="25"/>
  <c r="E88" i="25"/>
  <c r="M82" i="25"/>
  <c r="I81" i="25"/>
  <c r="E80" i="25"/>
  <c r="M74" i="25"/>
  <c r="I73" i="25"/>
  <c r="E68" i="25"/>
  <c r="M66" i="25"/>
  <c r="I61" i="25"/>
  <c r="E60" i="25"/>
  <c r="M47" i="25"/>
  <c r="H117" i="25"/>
  <c r="D116" i="25"/>
  <c r="L110" i="25"/>
  <c r="H109" i="25"/>
  <c r="D108" i="25"/>
  <c r="L102" i="25"/>
  <c r="H101" i="25"/>
  <c r="D96" i="25"/>
  <c r="L94" i="25"/>
  <c r="H89" i="25"/>
  <c r="D88" i="25"/>
  <c r="L82" i="25"/>
  <c r="H81" i="25"/>
  <c r="D80" i="25"/>
  <c r="L74" i="25"/>
  <c r="H73" i="25"/>
  <c r="D68" i="25"/>
  <c r="L66" i="25"/>
  <c r="H61" i="25"/>
  <c r="D60" i="25"/>
  <c r="L47" i="25"/>
  <c r="C117" i="25"/>
  <c r="K115" i="25"/>
  <c r="G110" i="25"/>
  <c r="C109" i="25"/>
  <c r="K103" i="25"/>
  <c r="G102" i="25"/>
  <c r="C101" i="25"/>
  <c r="K95" i="25"/>
  <c r="G94" i="25"/>
  <c r="C89" i="25"/>
  <c r="K87" i="25"/>
  <c r="G82" i="25"/>
  <c r="C81" i="25"/>
  <c r="K75" i="25"/>
  <c r="G74" i="25"/>
  <c r="C73" i="25"/>
  <c r="K67" i="25"/>
  <c r="G66" i="25"/>
  <c r="C61" i="25"/>
  <c r="K59" i="25"/>
  <c r="G47" i="25"/>
  <c r="F116" i="25"/>
  <c r="B103" i="25"/>
  <c r="J89" i="25"/>
  <c r="F80" i="25"/>
  <c r="B67" i="25"/>
  <c r="B47" i="25"/>
  <c r="I45" i="25"/>
  <c r="E40" i="25"/>
  <c r="M38" i="25"/>
  <c r="I33" i="25"/>
  <c r="E32" i="25"/>
  <c r="M26" i="25"/>
  <c r="I25" i="25"/>
  <c r="F17" i="25"/>
  <c r="B40" i="25"/>
  <c r="F59" i="25"/>
  <c r="C25" i="25"/>
  <c r="C33" i="25"/>
  <c r="G38" i="25"/>
  <c r="G41" i="25" s="1"/>
  <c r="K39" i="25"/>
  <c r="C45" i="25"/>
  <c r="G46" i="25"/>
  <c r="B61" i="25"/>
  <c r="F74" i="25"/>
  <c r="J87" i="25"/>
  <c r="B101" i="25"/>
  <c r="F110" i="25"/>
  <c r="F26" i="25"/>
  <c r="F38" i="25"/>
  <c r="D47" i="25"/>
  <c r="B94" i="25"/>
  <c r="L17" i="25"/>
  <c r="D19" i="25"/>
  <c r="H24" i="25"/>
  <c r="L25" i="25"/>
  <c r="D31" i="25"/>
  <c r="H32" i="25"/>
  <c r="L33" i="25"/>
  <c r="D39" i="25"/>
  <c r="H40" i="25"/>
  <c r="L45" i="25"/>
  <c r="J47" i="25"/>
  <c r="B68" i="25"/>
  <c r="F81" i="25"/>
  <c r="J94" i="25"/>
  <c r="B108" i="25"/>
  <c r="F117" i="25"/>
  <c r="B33" i="25"/>
  <c r="J40" i="25"/>
  <c r="J68" i="25"/>
  <c r="F103" i="25"/>
  <c r="E12" i="25"/>
  <c r="I17" i="25"/>
  <c r="M18" i="25"/>
  <c r="E24" i="25"/>
  <c r="M25" i="25"/>
  <c r="I32" i="25"/>
  <c r="E39" i="25"/>
  <c r="M45" i="25"/>
  <c r="F68" i="25"/>
  <c r="B95" i="25"/>
  <c r="J117" i="25"/>
  <c r="C60" i="25"/>
  <c r="K66" i="25"/>
  <c r="G73" i="25"/>
  <c r="C80" i="25"/>
  <c r="K82" i="25"/>
  <c r="G89" i="25"/>
  <c r="C96" i="25"/>
  <c r="K102" i="25"/>
  <c r="C110" i="25"/>
  <c r="L59" i="25"/>
  <c r="D73" i="25"/>
  <c r="H82" i="25"/>
  <c r="L95" i="25"/>
  <c r="D109" i="25"/>
  <c r="I47" i="25"/>
  <c r="M67" i="25"/>
  <c r="E81" i="25"/>
  <c r="I94" i="25"/>
  <c r="M103" i="25"/>
  <c r="E117" i="25"/>
  <c r="F52" i="25"/>
  <c r="M52" i="25"/>
  <c r="C40" i="25"/>
  <c r="G45" i="25"/>
  <c r="L46" i="25"/>
  <c r="F66" i="25"/>
  <c r="J75" i="25"/>
  <c r="B89" i="25"/>
  <c r="F102" i="25"/>
  <c r="J115" i="25"/>
  <c r="F31" i="25"/>
  <c r="F39" i="25"/>
  <c r="B66" i="25"/>
  <c r="B102" i="25"/>
  <c r="D18" i="25"/>
  <c r="H19" i="25"/>
  <c r="L24" i="25"/>
  <c r="D26" i="25"/>
  <c r="H31" i="25"/>
  <c r="L32" i="25"/>
  <c r="D38" i="25"/>
  <c r="H39" i="25"/>
  <c r="L40" i="25"/>
  <c r="D46" i="25"/>
  <c r="B60" i="25"/>
  <c r="F73" i="25"/>
  <c r="J82" i="25"/>
  <c r="B96" i="25"/>
  <c r="F109" i="25"/>
  <c r="J25" i="25"/>
  <c r="B38" i="25"/>
  <c r="F45" i="25"/>
  <c r="J80" i="25"/>
  <c r="H12" i="25"/>
  <c r="I12" i="25"/>
  <c r="M17" i="25"/>
  <c r="E19" i="25"/>
  <c r="I24" i="25"/>
  <c r="I26" i="25"/>
  <c r="E33" i="25"/>
  <c r="M39" i="25"/>
  <c r="I46" i="25"/>
  <c r="B75" i="25"/>
  <c r="J101" i="25"/>
  <c r="C47" i="25"/>
  <c r="K60" i="25"/>
  <c r="G67" i="25"/>
  <c r="C74" i="25"/>
  <c r="K80" i="25"/>
  <c r="G87" i="25"/>
  <c r="C94" i="25"/>
  <c r="K96" i="25"/>
  <c r="G103" i="25"/>
  <c r="G115" i="25"/>
  <c r="D61" i="25"/>
  <c r="H74" i="25"/>
  <c r="L87" i="25"/>
  <c r="D101" i="25"/>
  <c r="H110" i="25"/>
  <c r="M59" i="25"/>
  <c r="E73" i="25"/>
  <c r="I82" i="25"/>
  <c r="M95" i="25"/>
  <c r="E109" i="25"/>
  <c r="B53" i="25"/>
  <c r="H52" i="25"/>
  <c r="E54" i="25"/>
  <c r="M55" i="25" l="1"/>
  <c r="I97" i="25"/>
  <c r="B27" i="25"/>
  <c r="D20" i="25"/>
  <c r="J97" i="25"/>
  <c r="C97" i="25"/>
  <c r="G90" i="25"/>
  <c r="K83" i="25"/>
  <c r="F69" i="25"/>
  <c r="F55" i="25"/>
  <c r="B20" i="25"/>
  <c r="D41" i="25"/>
  <c r="J104" i="25"/>
  <c r="J48" i="25"/>
  <c r="K34" i="25"/>
  <c r="L55" i="25"/>
  <c r="L27" i="25"/>
  <c r="H20" i="25"/>
  <c r="F20" i="25"/>
  <c r="K48" i="25"/>
  <c r="K118" i="25"/>
  <c r="H104" i="25"/>
  <c r="I76" i="25"/>
  <c r="G34" i="25"/>
  <c r="C20" i="25"/>
  <c r="H27" i="25"/>
  <c r="H34" i="25"/>
  <c r="F34" i="25"/>
  <c r="C41" i="25"/>
  <c r="I41" i="25"/>
  <c r="C69" i="25"/>
  <c r="K13" i="25"/>
  <c r="F76" i="25"/>
  <c r="D34" i="25"/>
  <c r="D83" i="25"/>
  <c r="K55" i="25"/>
  <c r="N116" i="25"/>
  <c r="J20" i="25"/>
  <c r="J34" i="25"/>
  <c r="H55" i="25"/>
  <c r="D104" i="25"/>
  <c r="G118" i="25"/>
  <c r="K69" i="25"/>
  <c r="B34" i="25"/>
  <c r="F27" i="25"/>
  <c r="I104" i="25"/>
  <c r="E76" i="25"/>
  <c r="E27" i="25"/>
  <c r="F90" i="25"/>
  <c r="K27" i="25"/>
  <c r="L90" i="25"/>
  <c r="M62" i="25"/>
  <c r="F48" i="25"/>
  <c r="K90" i="25"/>
  <c r="C104" i="25"/>
  <c r="D76" i="25"/>
  <c r="G97" i="25"/>
  <c r="L69" i="25"/>
  <c r="B118" i="25"/>
  <c r="B41" i="25"/>
  <c r="G48" i="25"/>
  <c r="C83" i="25"/>
  <c r="O18" i="25"/>
  <c r="N17" i="25"/>
  <c r="O32" i="25"/>
  <c r="O17" i="25"/>
  <c r="J118" i="25"/>
  <c r="L62" i="25"/>
  <c r="N18" i="25"/>
  <c r="N19" i="25"/>
  <c r="M48" i="25"/>
  <c r="G76" i="25"/>
  <c r="O24" i="25"/>
  <c r="N25" i="25"/>
  <c r="N46" i="25"/>
  <c r="B5" i="25"/>
  <c r="G13" i="25"/>
  <c r="O38" i="25"/>
  <c r="N115" i="25"/>
  <c r="O115" i="25"/>
  <c r="O26" i="25"/>
  <c r="F6" i="25"/>
  <c r="O19" i="25"/>
  <c r="N24" i="25"/>
  <c r="J6" i="25"/>
  <c r="J90" i="25"/>
  <c r="I27" i="25"/>
  <c r="O12" i="25"/>
  <c r="K20" i="25"/>
  <c r="B6" i="25"/>
  <c r="J83" i="25"/>
  <c r="O31" i="25"/>
  <c r="N38" i="25"/>
  <c r="N31" i="25"/>
  <c r="C6" i="25"/>
  <c r="O46" i="25"/>
  <c r="J62" i="25"/>
  <c r="F13" i="25"/>
  <c r="N12" i="25"/>
  <c r="N13" i="25" s="1"/>
  <c r="N87" i="25"/>
  <c r="O74" i="25"/>
  <c r="F118" i="25"/>
  <c r="N26" i="25"/>
  <c r="D27" i="25"/>
  <c r="F97" i="25"/>
  <c r="H5" i="25"/>
  <c r="H13" i="25"/>
  <c r="N102" i="25"/>
  <c r="O102" i="25"/>
  <c r="E5" i="25"/>
  <c r="E13" i="25"/>
  <c r="O33" i="25"/>
  <c r="N33" i="25"/>
  <c r="L6" i="25"/>
  <c r="L20" i="25"/>
  <c r="O59" i="25"/>
  <c r="F62" i="25"/>
  <c r="F83" i="25"/>
  <c r="O117" i="25"/>
  <c r="D62" i="25"/>
  <c r="H111" i="25"/>
  <c r="I83" i="25"/>
  <c r="E55" i="25"/>
  <c r="I34" i="25"/>
  <c r="B90" i="25"/>
  <c r="C62" i="25"/>
  <c r="G111" i="25"/>
  <c r="L83" i="25"/>
  <c r="D97" i="25"/>
  <c r="E69" i="25"/>
  <c r="I118" i="25"/>
  <c r="M90" i="25"/>
  <c r="M27" i="25"/>
  <c r="D5" i="25"/>
  <c r="D13" i="25"/>
  <c r="K111" i="25"/>
  <c r="G62" i="25"/>
  <c r="L41" i="25"/>
  <c r="N109" i="25"/>
  <c r="O109" i="25"/>
  <c r="C111" i="25"/>
  <c r="H41" i="25"/>
  <c r="C34" i="25"/>
  <c r="G27" i="25"/>
  <c r="K6" i="25"/>
  <c r="K7" i="25" s="1"/>
  <c r="J111" i="25"/>
  <c r="O45" i="25"/>
  <c r="N45" i="25"/>
  <c r="B48" i="25"/>
  <c r="J27" i="25"/>
  <c r="H6" i="25"/>
  <c r="N74" i="25"/>
  <c r="N53" i="25"/>
  <c r="O53" i="25"/>
  <c r="N60" i="25"/>
  <c r="O60" i="25"/>
  <c r="O66" i="25"/>
  <c r="B69" i="25"/>
  <c r="N66" i="25"/>
  <c r="O110" i="25"/>
  <c r="N110" i="25"/>
  <c r="O68" i="25"/>
  <c r="N68" i="25"/>
  <c r="N94" i="25"/>
  <c r="O94" i="25"/>
  <c r="B97" i="25"/>
  <c r="O61" i="25"/>
  <c r="N61" i="25"/>
  <c r="N40" i="25"/>
  <c r="O40" i="25"/>
  <c r="I48" i="25"/>
  <c r="K62" i="25"/>
  <c r="C76" i="25"/>
  <c r="O73" i="25"/>
  <c r="N73" i="25"/>
  <c r="L97" i="25"/>
  <c r="D111" i="25"/>
  <c r="M69" i="25"/>
  <c r="E83" i="25"/>
  <c r="L76" i="25"/>
  <c r="D90" i="25"/>
  <c r="E62" i="25"/>
  <c r="I111" i="25"/>
  <c r="K76" i="25"/>
  <c r="C90" i="25"/>
  <c r="H62" i="25"/>
  <c r="L111" i="25"/>
  <c r="I69" i="25"/>
  <c r="M83" i="25"/>
  <c r="E97" i="25"/>
  <c r="M118" i="25"/>
  <c r="I55" i="25"/>
  <c r="G104" i="25"/>
  <c r="F111" i="25"/>
  <c r="F104" i="25"/>
  <c r="E6" i="25"/>
  <c r="E20" i="25"/>
  <c r="L118" i="25"/>
  <c r="K97" i="25"/>
  <c r="M5" i="25"/>
  <c r="M13" i="25"/>
  <c r="O88" i="25"/>
  <c r="N88" i="25"/>
  <c r="L34" i="25"/>
  <c r="K41" i="25"/>
  <c r="O96" i="25"/>
  <c r="N32" i="25"/>
  <c r="M6" i="25"/>
  <c r="M20" i="25"/>
  <c r="N96" i="25"/>
  <c r="O89" i="25"/>
  <c r="N89" i="25"/>
  <c r="O108" i="25"/>
  <c r="N108" i="25"/>
  <c r="B111" i="25"/>
  <c r="O101" i="25"/>
  <c r="B104" i="25"/>
  <c r="N101" i="25"/>
  <c r="N47" i="25"/>
  <c r="O47" i="25"/>
  <c r="O103" i="25"/>
  <c r="N103" i="25"/>
  <c r="H76" i="25"/>
  <c r="M97" i="25"/>
  <c r="E111" i="25"/>
  <c r="O54" i="25"/>
  <c r="N54" i="25"/>
  <c r="L104" i="25"/>
  <c r="D118" i="25"/>
  <c r="M76" i="25"/>
  <c r="E90" i="25"/>
  <c r="E41" i="25"/>
  <c r="K104" i="25"/>
  <c r="C118" i="25"/>
  <c r="H90" i="25"/>
  <c r="I62" i="25"/>
  <c r="M111" i="25"/>
  <c r="B55" i="25"/>
  <c r="N52" i="25"/>
  <c r="O52" i="25"/>
  <c r="D55" i="25"/>
  <c r="N59" i="25"/>
  <c r="B62" i="25"/>
  <c r="L13" i="25"/>
  <c r="L5" i="25"/>
  <c r="J55" i="25"/>
  <c r="H97" i="25"/>
  <c r="O82" i="25"/>
  <c r="E48" i="25"/>
  <c r="J69" i="25"/>
  <c r="C27" i="25"/>
  <c r="G20" i="25"/>
  <c r="G6" i="25"/>
  <c r="G7" i="25" s="1"/>
  <c r="J5" i="25"/>
  <c r="J13" i="25"/>
  <c r="N80" i="25"/>
  <c r="O87" i="25"/>
  <c r="N117" i="25"/>
  <c r="O75" i="25"/>
  <c r="B76" i="25"/>
  <c r="N75" i="25"/>
  <c r="I13" i="25"/>
  <c r="I5" i="25"/>
  <c r="D6" i="25"/>
  <c r="O95" i="25"/>
  <c r="N95" i="25"/>
  <c r="I6" i="25"/>
  <c r="I20" i="25"/>
  <c r="L48" i="25"/>
  <c r="F41" i="25"/>
  <c r="C48" i="25"/>
  <c r="M41" i="25"/>
  <c r="N67" i="25"/>
  <c r="O67" i="25"/>
  <c r="G69" i="25"/>
  <c r="H83" i="25"/>
  <c r="M104" i="25"/>
  <c r="E118" i="25"/>
  <c r="J76" i="25"/>
  <c r="G83" i="25"/>
  <c r="D69" i="25"/>
  <c r="H118" i="25"/>
  <c r="I90" i="25"/>
  <c r="C55" i="25"/>
  <c r="M34" i="25"/>
  <c r="J41" i="25"/>
  <c r="H48" i="25"/>
  <c r="E104" i="25"/>
  <c r="H69" i="25"/>
  <c r="E34" i="25"/>
  <c r="O39" i="25"/>
  <c r="N39" i="25"/>
  <c r="D48" i="25"/>
  <c r="O81" i="25"/>
  <c r="B83" i="25"/>
  <c r="N81" i="25"/>
  <c r="O116" i="25"/>
  <c r="C5" i="25"/>
  <c r="C13" i="25"/>
  <c r="O25" i="25"/>
  <c r="G55" i="25"/>
  <c r="O80" i="25"/>
  <c r="N82" i="25"/>
  <c r="F7" i="25" l="1"/>
  <c r="B8" i="25"/>
  <c r="C8" i="25" s="1"/>
  <c r="D8" i="25" s="1"/>
  <c r="E8" i="25" s="1"/>
  <c r="F8" i="25" s="1"/>
  <c r="L7" i="25"/>
  <c r="C7" i="25"/>
  <c r="N118" i="25"/>
  <c r="B7" i="25"/>
  <c r="N5" i="25"/>
  <c r="B3" i="27" s="1"/>
  <c r="N90" i="25"/>
  <c r="N20" i="25"/>
  <c r="N41" i="25"/>
  <c r="J7" i="25"/>
  <c r="N27" i="25"/>
  <c r="O20" i="25"/>
  <c r="O27" i="25"/>
  <c r="N55" i="25"/>
  <c r="O13" i="25"/>
  <c r="N34" i="25"/>
  <c r="D7" i="25"/>
  <c r="I7" i="25"/>
  <c r="O6" i="25"/>
  <c r="O34" i="25"/>
  <c r="N6" i="25"/>
  <c r="B7" i="27" s="1"/>
  <c r="O48" i="25"/>
  <c r="N62" i="25"/>
  <c r="O118" i="25"/>
  <c r="N111" i="25"/>
  <c r="N48" i="25"/>
  <c r="O76" i="25"/>
  <c r="O41" i="25"/>
  <c r="O97" i="25"/>
  <c r="O83" i="25"/>
  <c r="O62" i="25"/>
  <c r="O111" i="25"/>
  <c r="O90" i="25"/>
  <c r="N104" i="25"/>
  <c r="M7" i="25"/>
  <c r="N97" i="25"/>
  <c r="O55" i="25"/>
  <c r="O5" i="25"/>
  <c r="O104" i="25"/>
  <c r="N76" i="25"/>
  <c r="N69" i="25"/>
  <c r="H7" i="25"/>
  <c r="N83" i="25"/>
  <c r="O69" i="25"/>
  <c r="E7" i="25"/>
  <c r="O8" i="27"/>
  <c r="O11" i="27"/>
  <c r="O5" i="27"/>
  <c r="O13" i="27"/>
  <c r="O16" i="27"/>
  <c r="O7" i="27"/>
  <c r="O12" i="27"/>
  <c r="O9" i="27"/>
  <c r="O6" i="27"/>
  <c r="O14" i="27"/>
  <c r="O15" i="27"/>
  <c r="O10" i="27"/>
  <c r="O17" i="27" l="1"/>
  <c r="N7" i="25"/>
  <c r="B11" i="27" s="1"/>
  <c r="G8" i="25"/>
  <c r="H8" i="25" s="1"/>
  <c r="I8" i="25" s="1"/>
  <c r="J8" i="25" s="1"/>
  <c r="K8" i="25" s="1"/>
  <c r="L8" i="25" s="1"/>
  <c r="M8" i="25" s="1"/>
  <c r="N8" i="25" s="1"/>
  <c r="O7" i="25"/>
  <c r="P12" i="27"/>
  <c r="P10" i="27"/>
  <c r="P16" i="27"/>
  <c r="P5" i="27"/>
  <c r="P11" i="27"/>
  <c r="P14" i="27"/>
  <c r="P15" i="27"/>
  <c r="P6" i="27"/>
  <c r="P7" i="27"/>
  <c r="P8" i="27"/>
  <c r="P9" i="27"/>
  <c r="P13" i="27"/>
  <c r="B15" i="27" l="1"/>
  <c r="O8" i="25"/>
</calcChain>
</file>

<file path=xl/sharedStrings.xml><?xml version="1.0" encoding="utf-8"?>
<sst xmlns="http://schemas.openxmlformats.org/spreadsheetml/2006/main" count="298" uniqueCount="122">
  <si>
    <t>Current Balance</t>
  </si>
  <si>
    <t>Spending Summary</t>
  </si>
  <si>
    <t>Date</t>
  </si>
  <si>
    <t>Description</t>
  </si>
  <si>
    <t>Category</t>
  </si>
  <si>
    <t>Withdrawal (-)</t>
  </si>
  <si>
    <t>Deposit (+)</t>
  </si>
  <si>
    <t>Balance</t>
  </si>
  <si>
    <t>Total</t>
  </si>
  <si>
    <t>Deposit</t>
  </si>
  <si>
    <t>Utilities</t>
  </si>
  <si>
    <t>Entertainment</t>
  </si>
  <si>
    <t>Other</t>
  </si>
  <si>
    <t>Cleared</t>
  </si>
  <si>
    <t>Reconciled</t>
  </si>
  <si>
    <t>Available Limit</t>
  </si>
  <si>
    <t>Max Limit</t>
  </si>
  <si>
    <t>Master Categories</t>
  </si>
  <si>
    <t>Groc/Household</t>
  </si>
  <si>
    <t>Transportation</t>
  </si>
  <si>
    <t>Charity/Tithe</t>
  </si>
  <si>
    <t>Debt</t>
  </si>
  <si>
    <t>Computer/Electronics</t>
  </si>
  <si>
    <t>[Balance]</t>
  </si>
  <si>
    <t>[Transfer]</t>
  </si>
  <si>
    <t>Savings</t>
  </si>
  <si>
    <t>Health</t>
  </si>
  <si>
    <t>Amount Due (-)</t>
  </si>
  <si>
    <t>Payment/Credit (+)</t>
  </si>
  <si>
    <t>Housing</t>
  </si>
  <si>
    <t>BP</t>
  </si>
  <si>
    <t>Code</t>
  </si>
  <si>
    <t>Refers to</t>
  </si>
  <si>
    <t>AD</t>
  </si>
  <si>
    <t>AP</t>
  </si>
  <si>
    <t>DC</t>
  </si>
  <si>
    <t>Automatic Deposit (ACH)</t>
  </si>
  <si>
    <t>Automatic Payment (ACH)</t>
  </si>
  <si>
    <t>Debit (Check) Card</t>
  </si>
  <si>
    <t>Online Billpayment</t>
  </si>
  <si>
    <t>FT</t>
  </si>
  <si>
    <t>Funds Transfer</t>
  </si>
  <si>
    <t>WD</t>
  </si>
  <si>
    <t>Withdrawal (In-person)</t>
  </si>
  <si>
    <t>EFT</t>
  </si>
  <si>
    <t>Electronic Funds Transfer</t>
  </si>
  <si>
    <t>DP</t>
  </si>
  <si>
    <t>Deposit (In-person)</t>
  </si>
  <si>
    <t>ATM Withdrawal</t>
  </si>
  <si>
    <t>ATM-DP</t>
  </si>
  <si>
    <t>ATM-WD</t>
  </si>
  <si>
    <t>ATM Deposit</t>
  </si>
  <si>
    <t>FC</t>
  </si>
  <si>
    <t>Finance Charge</t>
  </si>
  <si>
    <t>PAY</t>
  </si>
  <si>
    <t>Payment</t>
  </si>
  <si>
    <t>CC</t>
  </si>
  <si>
    <t>Credit Card</t>
  </si>
  <si>
    <t>BA</t>
  </si>
  <si>
    <t>Bank (Other)</t>
  </si>
  <si>
    <t>RET</t>
  </si>
  <si>
    <t>Return</t>
  </si>
  <si>
    <t>IFT</t>
  </si>
  <si>
    <t>Balance as of 1/1/14</t>
  </si>
  <si>
    <t>Dining/Eating Out</t>
  </si>
  <si>
    <t>Checking - Key</t>
  </si>
  <si>
    <t>CU1 Visa</t>
  </si>
  <si>
    <t>y</t>
  </si>
  <si>
    <t>GE Money</t>
  </si>
  <si>
    <t>Code/ Check #</t>
  </si>
  <si>
    <t>May</t>
  </si>
  <si>
    <t>Jan</t>
  </si>
  <si>
    <t>Feb</t>
  </si>
  <si>
    <t>Mar</t>
  </si>
  <si>
    <t>Apr</t>
  </si>
  <si>
    <t>Jun</t>
  </si>
  <si>
    <t>Total Income</t>
  </si>
  <si>
    <t>Starting Balance</t>
  </si>
  <si>
    <t>Total Expense</t>
  </si>
  <si>
    <t>Net Income</t>
  </si>
  <si>
    <t>TOTAL CASH FLOW</t>
  </si>
  <si>
    <t>TOTAL INCOME</t>
  </si>
  <si>
    <t xml:space="preserve"> </t>
  </si>
  <si>
    <t>Transaction Month</t>
  </si>
  <si>
    <t>Accounts</t>
  </si>
  <si>
    <t>Income</t>
  </si>
  <si>
    <t>Jul</t>
  </si>
  <si>
    <t>Aug</t>
  </si>
  <si>
    <t>Sep</t>
  </si>
  <si>
    <t>Oct</t>
  </si>
  <si>
    <t>Nov</t>
  </si>
  <si>
    <t>Dec</t>
  </si>
  <si>
    <t>Year</t>
  </si>
  <si>
    <t>% of Income</t>
  </si>
  <si>
    <t>Period</t>
  </si>
  <si>
    <t>income</t>
  </si>
  <si>
    <t>expenses</t>
  </si>
  <si>
    <t>cash flow</t>
  </si>
  <si>
    <t>Overview:</t>
  </si>
  <si>
    <t>net income</t>
  </si>
  <si>
    <t>Avg</t>
  </si>
  <si>
    <t>Modify or add new categories to the Master Categories list. You will need to add a row to the account summary and dashboard and select the new category. In addtion, you'll need to add select the category to the next data table on the Budget sheet. You may need to add new data tables if you have more than the current number of expense categories. When you add entries in the register for that category, they will be included in the summary.</t>
  </si>
  <si>
    <t>Balance as of 12/15/13</t>
  </si>
  <si>
    <t>Education</t>
  </si>
  <si>
    <t>Column1</t>
  </si>
  <si>
    <t>Interest:</t>
  </si>
  <si>
    <t>Years</t>
  </si>
  <si>
    <t>Transaction Year</t>
  </si>
  <si>
    <t>SC</t>
  </si>
  <si>
    <t>Service Charge</t>
  </si>
  <si>
    <t>Checking</t>
  </si>
  <si>
    <t>Credit Card 1</t>
  </si>
  <si>
    <t>Credit Card 2</t>
  </si>
  <si>
    <t>Balance as of 1/1/17</t>
  </si>
  <si>
    <t>rent</t>
  </si>
  <si>
    <t>Walmart - groc/household</t>
  </si>
  <si>
    <t>work check</t>
  </si>
  <si>
    <t>student loan</t>
  </si>
  <si>
    <t>car insurance</t>
  </si>
  <si>
    <t>internet service provider</t>
  </si>
  <si>
    <t>credit card 1 payment</t>
  </si>
  <si>
    <t>credit card 2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</si>
</sst>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164" formatCode="&quot;$&quot;#,##0.00"/>
    <numFmt numFmtId="165" formatCode="mm/dd/yy;@"/>
    <numFmt numFmtId="166" formatCode="mmm"/>
    <numFmt numFmtId="167" formatCode="_(&quot;$&quot;* #,##0_);[Red]_(&quot;$&quot;* \(#,##0\);_(&quot;$&quot;* &quot;-&quot;??_);_(@_)"/>
    <numFmt numFmtId="168" formatCode="&quot;$&quot;#,##0"/>
  </numFmts>
  <fonts count="47" x14ac:knownFonts="1">
    <font>
      <sz val="11"/>
      <color theme="3"/>
      <name val="Calibri"/>
      <family val="2"/>
      <scheme val="minor"/>
    </font>
    <font>
      <sz val="11"/>
      <color theme="1"/>
      <name val="Calibri"/>
      <family val="2"/>
      <scheme val="minor"/>
    </font>
    <font>
      <sz val="11"/>
      <color theme="0" tint="-0.499984740745262"/>
      <name val="Segoe UI"/>
      <family val="2"/>
    </font>
    <font>
      <b/>
      <sz val="18"/>
      <color theme="2"/>
      <name val="Calibri"/>
      <family val="2"/>
      <scheme val="minor"/>
    </font>
    <font>
      <b/>
      <sz val="11"/>
      <color theme="3"/>
      <name val="Calibri"/>
      <family val="2"/>
      <scheme val="minor"/>
    </font>
    <font>
      <sz val="11"/>
      <color theme="3"/>
      <name val="Calibri"/>
      <family val="2"/>
      <scheme val="major"/>
    </font>
    <font>
      <sz val="11"/>
      <color theme="2"/>
      <name val="Calibri"/>
      <family val="2"/>
      <scheme val="minor"/>
    </font>
    <font>
      <b/>
      <sz val="12"/>
      <color theme="2"/>
      <name val="Calibri"/>
      <family val="2"/>
      <scheme val="major"/>
    </font>
    <font>
      <b/>
      <sz val="36"/>
      <color theme="2"/>
      <name val="Calibri"/>
      <family val="2"/>
      <scheme val="major"/>
    </font>
    <font>
      <b/>
      <sz val="26"/>
      <color theme="3"/>
      <name val="Calibri"/>
      <family val="2"/>
      <scheme val="major"/>
    </font>
    <font>
      <i/>
      <sz val="11"/>
      <color theme="2"/>
      <name val="Calibri"/>
      <family val="2"/>
      <scheme val="minor"/>
    </font>
    <font>
      <b/>
      <sz val="26"/>
      <color theme="2"/>
      <name val="Calibri"/>
      <family val="2"/>
      <scheme val="major"/>
    </font>
    <font>
      <b/>
      <sz val="16"/>
      <color theme="2"/>
      <name val="Calibri"/>
      <family val="2"/>
      <scheme val="minor"/>
    </font>
    <font>
      <b/>
      <sz val="22"/>
      <color theme="3"/>
      <name val="Calibri"/>
      <family val="2"/>
      <scheme val="major"/>
    </font>
    <font>
      <b/>
      <sz val="16"/>
      <color theme="2"/>
      <name val="Calibri"/>
      <family val="2"/>
      <scheme val="major"/>
    </font>
    <font>
      <sz val="11"/>
      <color theme="2"/>
      <name val="Calibri"/>
      <family val="2"/>
      <scheme val="minor"/>
    </font>
    <font>
      <b/>
      <sz val="14"/>
      <color theme="3"/>
      <name val="Calibri"/>
      <family val="2"/>
      <scheme val="minor"/>
    </font>
    <font>
      <sz val="8"/>
      <color theme="3"/>
      <name val="Calibri"/>
      <family val="2"/>
      <scheme val="minor"/>
    </font>
    <font>
      <sz val="10"/>
      <color theme="3"/>
      <name val="Calibri"/>
      <family val="2"/>
      <scheme val="minor"/>
    </font>
    <font>
      <sz val="11"/>
      <color theme="3"/>
      <name val="Calibri"/>
      <family val="2"/>
      <scheme val="minor"/>
    </font>
    <font>
      <sz val="9"/>
      <color theme="1"/>
      <name val="Calibri"/>
      <family val="2"/>
      <scheme val="minor"/>
    </font>
    <font>
      <b/>
      <sz val="9"/>
      <color theme="0"/>
      <name val="Calibri"/>
      <family val="2"/>
      <scheme val="major"/>
    </font>
    <font>
      <b/>
      <sz val="12"/>
      <color theme="5"/>
      <name val="Calibri"/>
      <family val="2"/>
      <scheme val="major"/>
    </font>
    <font>
      <b/>
      <sz val="12"/>
      <color rgb="FFFF0000"/>
      <name val="Calibri"/>
      <family val="2"/>
      <scheme val="major"/>
    </font>
    <font>
      <b/>
      <sz val="9"/>
      <color theme="1"/>
      <name val="Calibri"/>
      <family val="2"/>
      <scheme val="minor"/>
    </font>
    <font>
      <b/>
      <sz val="11"/>
      <color theme="0"/>
      <name val="Calibri"/>
      <family val="2"/>
      <scheme val="major"/>
    </font>
    <font>
      <sz val="10"/>
      <color theme="0"/>
      <name val="Calibri"/>
      <family val="2"/>
      <scheme val="major"/>
    </font>
    <font>
      <b/>
      <sz val="32"/>
      <color theme="4" tint="-0.249977111117893"/>
      <name val="Calibri"/>
      <family val="2"/>
      <scheme val="minor"/>
    </font>
    <font>
      <b/>
      <sz val="15"/>
      <color theme="4" tint="-0.249977111117893"/>
      <name val="Calibri"/>
      <family val="2"/>
      <scheme val="major"/>
    </font>
    <font>
      <b/>
      <sz val="10"/>
      <color theme="0"/>
      <name val="Calibri"/>
      <family val="2"/>
      <scheme val="major"/>
    </font>
    <font>
      <b/>
      <sz val="20"/>
      <color theme="0"/>
      <name val="Calibri"/>
      <family val="2"/>
      <scheme val="major"/>
    </font>
    <font>
      <b/>
      <sz val="20"/>
      <color theme="2"/>
      <name val="Calibri"/>
      <family val="2"/>
      <scheme val="minor"/>
    </font>
    <font>
      <b/>
      <sz val="15"/>
      <color theme="3"/>
      <name val="Calibri"/>
      <family val="2"/>
      <scheme val="major"/>
    </font>
    <font>
      <b/>
      <sz val="16"/>
      <color theme="0"/>
      <name val="Calibri"/>
      <family val="2"/>
      <scheme val="major"/>
    </font>
    <font>
      <sz val="9"/>
      <color theme="3"/>
      <name val="Calibri"/>
      <family val="2"/>
      <scheme val="minor"/>
    </font>
    <font>
      <b/>
      <sz val="10"/>
      <color theme="3"/>
      <name val="Calibri"/>
      <family val="2"/>
      <scheme val="minor"/>
    </font>
    <font>
      <b/>
      <sz val="24"/>
      <color theme="3"/>
      <name val="Calibri"/>
      <family val="2"/>
      <scheme val="minor"/>
    </font>
    <font>
      <sz val="11"/>
      <color theme="2"/>
      <name val="Calibri"/>
      <family val="2"/>
      <scheme val="minor"/>
    </font>
    <font>
      <sz val="10"/>
      <color theme="3" tint="0.24994659260841701"/>
      <name val="Calibri"/>
      <family val="2"/>
      <scheme val="minor"/>
    </font>
    <font>
      <sz val="20"/>
      <color theme="0"/>
      <name val="Calibri"/>
      <family val="2"/>
      <scheme val="major"/>
    </font>
    <font>
      <sz val="13"/>
      <color theme="3" tint="0.24994659260841701"/>
      <name val="Calibri"/>
      <family val="2"/>
      <scheme val="major"/>
    </font>
    <font>
      <sz val="10"/>
      <color theme="4"/>
      <name val="Calibri"/>
      <family val="2"/>
      <scheme val="major"/>
    </font>
    <font>
      <sz val="24"/>
      <color theme="3" tint="0.24994659260841701"/>
      <name val="Calibri"/>
      <family val="2"/>
      <scheme val="minor"/>
    </font>
    <font>
      <sz val="10"/>
      <color theme="3"/>
      <name val="Calibri"/>
      <family val="2"/>
      <scheme val="minor"/>
    </font>
    <font>
      <sz val="11"/>
      <color theme="3"/>
      <name val="Calibri"/>
      <family val="2"/>
      <scheme val="minor"/>
    </font>
    <font>
      <sz val="9"/>
      <color theme="1"/>
      <name val="Calibri"/>
      <family val="2"/>
      <scheme val="minor"/>
    </font>
    <font>
      <sz val="8"/>
      <color theme="3"/>
      <name val="Calibri"/>
      <family val="2"/>
      <scheme val="minor"/>
    </font>
  </fonts>
  <fills count="16">
    <fill>
      <patternFill patternType="none"/>
    </fill>
    <fill>
      <patternFill patternType="gray125"/>
    </fill>
    <fill>
      <patternFill patternType="solid">
        <fgColor theme="3"/>
        <bgColor indexed="64"/>
      </patternFill>
    </fill>
    <fill>
      <patternFill patternType="solid">
        <fgColor theme="2"/>
        <bgColor indexed="64"/>
      </patternFill>
    </fill>
    <fill>
      <patternFill patternType="solid">
        <fgColor theme="0"/>
        <bgColor indexed="64"/>
      </patternFill>
    </fill>
    <fill>
      <patternFill patternType="solid">
        <fgColor theme="3"/>
        <bgColor auto="1"/>
      </patternFill>
    </fill>
    <fill>
      <patternFill patternType="solid">
        <fgColor theme="2" tint="-0.249977111117893"/>
        <bgColor auto="1"/>
      </patternFill>
    </fill>
    <fill>
      <patternFill patternType="solid">
        <fgColor theme="0"/>
        <bgColor auto="1"/>
      </patternFill>
    </fill>
    <fill>
      <patternFill patternType="solid">
        <fgColor theme="2" tint="-0.249977111117893"/>
        <bgColor theme="2"/>
      </patternFill>
    </fill>
    <fill>
      <patternFill patternType="solid">
        <fgColor theme="2" tint="-0.249977111117893"/>
        <bgColor indexed="64"/>
      </patternFill>
    </fill>
    <fill>
      <patternFill patternType="lightGrid">
        <fgColor theme="0"/>
        <bgColor theme="0"/>
      </patternFill>
    </fill>
    <fill>
      <patternFill patternType="solid">
        <fgColor theme="9" tint="0.39997558519241921"/>
        <bgColor indexed="64"/>
      </patternFill>
    </fill>
    <fill>
      <patternFill patternType="solid">
        <fgColor theme="7"/>
        <bgColor theme="7"/>
      </patternFill>
    </fill>
    <fill>
      <patternFill patternType="solid">
        <fgColor theme="0" tint="-0.14999847407452621"/>
        <bgColor theme="0" tint="-0.14999847407452621"/>
      </patternFill>
    </fill>
    <fill>
      <patternFill patternType="solid">
        <fgColor theme="2" tint="-9.9948118533890809E-2"/>
        <bgColor indexed="64"/>
      </patternFill>
    </fill>
    <fill>
      <patternFill patternType="solid">
        <fgColor theme="3" tint="9.9948118533890809E-2"/>
        <bgColor indexed="64"/>
      </patternFill>
    </fill>
  </fills>
  <borders count="6">
    <border>
      <left/>
      <right/>
      <top/>
      <bottom/>
      <diagonal/>
    </border>
    <border>
      <left/>
      <right style="thin">
        <color theme="3"/>
      </right>
      <top/>
      <bottom/>
      <diagonal/>
    </border>
    <border>
      <left/>
      <right/>
      <top style="thick">
        <color theme="0"/>
      </top>
      <bottom/>
      <diagonal/>
    </border>
    <border>
      <left/>
      <right/>
      <top style="medium">
        <color theme="1"/>
      </top>
      <bottom/>
      <diagonal/>
    </border>
    <border>
      <left/>
      <right/>
      <top style="double">
        <color theme="1"/>
      </top>
      <bottom style="medium">
        <color theme="1"/>
      </bottom>
      <diagonal/>
    </border>
    <border>
      <left/>
      <right/>
      <top/>
      <bottom style="thin">
        <color theme="2" tint="-0.24994659260841701"/>
      </bottom>
      <diagonal/>
    </border>
  </borders>
  <cellStyleXfs count="16">
    <xf numFmtId="0" fontId="0" fillId="0" borderId="0"/>
    <xf numFmtId="0" fontId="9" fillId="3" borderId="0" applyNumberFormat="0" applyBorder="0" applyProtection="0">
      <alignment vertical="center"/>
    </xf>
    <xf numFmtId="0" fontId="8" fillId="0" borderId="0" applyNumberFormat="0" applyFill="0" applyProtection="0">
      <alignment horizontal="right" vertical="center" indent="4"/>
    </xf>
    <xf numFmtId="0" fontId="3" fillId="0" borderId="0" applyNumberFormat="0" applyFill="0" applyProtection="0">
      <alignment vertical="center"/>
    </xf>
    <xf numFmtId="0" fontId="4" fillId="0" borderId="0" applyNumberFormat="0" applyFill="0" applyAlignment="0" applyProtection="0"/>
    <xf numFmtId="0" fontId="20" fillId="0" borderId="0">
      <alignment vertical="center"/>
    </xf>
    <xf numFmtId="0" fontId="22" fillId="10" borderId="2">
      <alignment horizontal="right" vertical="center" indent="1"/>
    </xf>
    <xf numFmtId="9" fontId="19" fillId="0" borderId="0" applyFont="0" applyFill="0" applyBorder="0" applyAlignment="0" applyProtection="0"/>
    <xf numFmtId="0" fontId="27" fillId="0" borderId="0">
      <alignment horizontal="right"/>
    </xf>
    <xf numFmtId="0" fontId="28" fillId="0" borderId="0">
      <alignment vertical="center"/>
    </xf>
    <xf numFmtId="0" fontId="38" fillId="14" borderId="0"/>
    <xf numFmtId="0" fontId="39" fillId="15" borderId="0" applyNumberFormat="0" applyBorder="0" applyProtection="0">
      <alignment horizontal="left" vertical="center"/>
    </xf>
    <xf numFmtId="0" fontId="40" fillId="14" borderId="0" applyNumberFormat="0" applyProtection="0">
      <alignment horizontal="left"/>
    </xf>
    <xf numFmtId="0" fontId="41" fillId="14" borderId="5" applyNumberFormat="0" applyAlignment="0" applyProtection="0"/>
    <xf numFmtId="168" fontId="42" fillId="14" borderId="0" applyAlignment="0" applyProtection="0"/>
    <xf numFmtId="0" fontId="1" fillId="0" borderId="0"/>
  </cellStyleXfs>
  <cellXfs count="136">
    <xf numFmtId="0" fontId="0" fillId="0" borderId="0" xfId="0"/>
    <xf numFmtId="0" fontId="0" fillId="0" borderId="0" xfId="0" applyFont="1" applyFill="1" applyBorder="1" applyAlignment="1">
      <alignment horizontal="left"/>
    </xf>
    <xf numFmtId="0" fontId="2" fillId="2" borderId="0" xfId="0" applyFont="1" applyFill="1" applyAlignment="1"/>
    <xf numFmtId="0" fontId="0" fillId="2" borderId="0" xfId="0" applyFill="1"/>
    <xf numFmtId="0" fontId="9" fillId="2" borderId="0" xfId="1" applyFill="1" applyAlignment="1">
      <alignment horizontal="left" vertical="center" indent="2"/>
    </xf>
    <xf numFmtId="0" fontId="0" fillId="0" borderId="0" xfId="0" applyAlignment="1">
      <alignment horizontal="left" indent="2"/>
    </xf>
    <xf numFmtId="0" fontId="2" fillId="2" borderId="1" xfId="0" applyFont="1" applyFill="1" applyBorder="1" applyAlignment="1"/>
    <xf numFmtId="0" fontId="0" fillId="2" borderId="1" xfId="0" applyFont="1" applyFill="1" applyBorder="1" applyAlignment="1">
      <alignment horizontal="right" vertical="center"/>
    </xf>
    <xf numFmtId="164" fontId="0" fillId="2" borderId="1" xfId="0" applyNumberFormat="1" applyFont="1" applyFill="1" applyBorder="1" applyAlignment="1">
      <alignment vertical="center"/>
    </xf>
    <xf numFmtId="164" fontId="0" fillId="2" borderId="1" xfId="0" applyNumberFormat="1" applyFont="1" applyFill="1" applyBorder="1"/>
    <xf numFmtId="0" fontId="0" fillId="2" borderId="1" xfId="0" applyFill="1" applyBorder="1"/>
    <xf numFmtId="0" fontId="6" fillId="2" borderId="0" xfId="0" applyFont="1" applyFill="1" applyAlignment="1">
      <alignment vertical="top"/>
    </xf>
    <xf numFmtId="0" fontId="10" fillId="2" borderId="0" xfId="0" applyFont="1" applyFill="1" applyAlignment="1">
      <alignment vertical="top"/>
    </xf>
    <xf numFmtId="165" fontId="0" fillId="2" borderId="0" xfId="0" applyNumberFormat="1" applyFill="1" applyAlignment="1">
      <alignment vertical="center"/>
    </xf>
    <xf numFmtId="165" fontId="9" fillId="2" borderId="0" xfId="1" applyNumberFormat="1" applyFill="1" applyAlignment="1">
      <alignment vertical="center"/>
    </xf>
    <xf numFmtId="165" fontId="0" fillId="0" borderId="0" xfId="0" applyNumberFormat="1" applyFont="1" applyFill="1" applyBorder="1" applyAlignment="1">
      <alignment horizontal="right" indent="1"/>
    </xf>
    <xf numFmtId="165" fontId="0" fillId="0" borderId="0" xfId="0" applyNumberFormat="1" applyAlignment="1">
      <alignment horizontal="right" indent="1"/>
    </xf>
    <xf numFmtId="44" fontId="7" fillId="2" borderId="0" xfId="1" applyNumberFormat="1" applyFont="1" applyFill="1" applyAlignment="1">
      <alignment horizontal="right"/>
    </xf>
    <xf numFmtId="44" fontId="0" fillId="2" borderId="0" xfId="0" applyNumberFormat="1" applyFill="1"/>
    <xf numFmtId="44" fontId="0" fillId="0" borderId="0" xfId="0" applyNumberFormat="1" applyFont="1" applyFill="1" applyBorder="1" applyAlignment="1">
      <alignment horizontal="right"/>
    </xf>
    <xf numFmtId="44" fontId="0" fillId="0" borderId="0" xfId="0" applyNumberFormat="1"/>
    <xf numFmtId="44" fontId="0" fillId="0" borderId="0" xfId="0" applyNumberFormat="1" applyFont="1" applyFill="1" applyBorder="1" applyAlignment="1">
      <alignment horizontal="right" vertical="center" indent="5"/>
    </xf>
    <xf numFmtId="44" fontId="0" fillId="0" borderId="0" xfId="0" applyNumberFormat="1" applyAlignment="1">
      <alignment horizontal="right" vertical="center" indent="5"/>
    </xf>
    <xf numFmtId="0" fontId="5" fillId="0" borderId="0" xfId="0" applyFont="1" applyFill="1" applyBorder="1" applyAlignment="1">
      <alignment horizontal="left" vertical="center" wrapText="1"/>
    </xf>
    <xf numFmtId="0" fontId="12" fillId="2" borderId="0" xfId="3" applyFont="1" applyFill="1">
      <alignment vertical="center"/>
    </xf>
    <xf numFmtId="44" fontId="7" fillId="2" borderId="0" xfId="1" applyNumberFormat="1" applyFont="1" applyFill="1" applyAlignment="1">
      <alignment horizontal="left"/>
    </xf>
    <xf numFmtId="164" fontId="11" fillId="2" borderId="0" xfId="2" applyNumberFormat="1" applyFont="1" applyFill="1" applyAlignment="1">
      <alignment horizontal="right" vertical="center" indent="5"/>
    </xf>
    <xf numFmtId="164" fontId="11" fillId="2" borderId="0" xfId="2" applyNumberFormat="1" applyFont="1" applyFill="1" applyAlignment="1">
      <alignment vertical="center"/>
    </xf>
    <xf numFmtId="0" fontId="0" fillId="4" borderId="0" xfId="0" applyFill="1" applyBorder="1"/>
    <xf numFmtId="0" fontId="5" fillId="0" borderId="0" xfId="0" applyFont="1" applyFill="1" applyBorder="1" applyAlignment="1">
      <alignment horizontal="left" vertical="center"/>
    </xf>
    <xf numFmtId="165" fontId="5" fillId="0" borderId="0" xfId="0" applyNumberFormat="1" applyFont="1" applyFill="1" applyBorder="1" applyAlignment="1">
      <alignment horizontal="left" vertical="center"/>
    </xf>
    <xf numFmtId="44" fontId="5" fillId="0" borderId="0" xfId="0" applyNumberFormat="1" applyFont="1" applyFill="1" applyBorder="1" applyAlignment="1">
      <alignment horizontal="right" vertical="center"/>
    </xf>
    <xf numFmtId="0" fontId="0" fillId="0" borderId="0" xfId="0" applyAlignment="1">
      <alignment wrapText="1"/>
    </xf>
    <xf numFmtId="0" fontId="6" fillId="2" borderId="0" xfId="0" applyFont="1" applyFill="1" applyBorder="1" applyAlignment="1">
      <alignment vertical="center"/>
    </xf>
    <xf numFmtId="0" fontId="6" fillId="2" borderId="0" xfId="0" applyFont="1" applyFill="1" applyBorder="1" applyAlignment="1">
      <alignment horizontal="right" vertical="center"/>
    </xf>
    <xf numFmtId="164" fontId="6" fillId="2" borderId="0" xfId="0" applyNumberFormat="1" applyFont="1" applyFill="1" applyBorder="1" applyAlignment="1">
      <alignment vertical="center"/>
    </xf>
    <xf numFmtId="0" fontId="6" fillId="2" borderId="0" xfId="0" applyFont="1" applyFill="1" applyBorder="1"/>
    <xf numFmtId="164" fontId="6" fillId="2" borderId="0" xfId="0" applyNumberFormat="1" applyFont="1" applyFill="1" applyBorder="1"/>
    <xf numFmtId="0" fontId="15" fillId="2" borderId="0" xfId="0" applyFont="1" applyFill="1" applyAlignment="1">
      <alignment vertical="center"/>
    </xf>
    <xf numFmtId="164" fontId="15" fillId="2" borderId="0" xfId="0" applyNumberFormat="1" applyFont="1" applyFill="1" applyAlignment="1">
      <alignment vertical="center"/>
    </xf>
    <xf numFmtId="0" fontId="6" fillId="2" borderId="0" xfId="0" applyFont="1" applyFill="1" applyAlignment="1">
      <alignment vertical="center"/>
    </xf>
    <xf numFmtId="164" fontId="6" fillId="2" borderId="0" xfId="0" applyNumberFormat="1" applyFont="1" applyFill="1" applyAlignment="1">
      <alignment vertical="center"/>
    </xf>
    <xf numFmtId="44" fontId="5" fillId="0" borderId="0" xfId="0" applyNumberFormat="1" applyFont="1" applyFill="1" applyBorder="1" applyAlignment="1">
      <alignment horizontal="center" vertical="center" wrapText="1"/>
    </xf>
    <xf numFmtId="0" fontId="0" fillId="0" borderId="0" xfId="0" applyFill="1" applyAlignment="1">
      <alignment horizontal="left"/>
    </xf>
    <xf numFmtId="0" fontId="16" fillId="4" borderId="0" xfId="0" applyFont="1" applyFill="1" applyBorder="1"/>
    <xf numFmtId="0" fontId="17" fillId="0" borderId="0" xfId="0" applyFont="1" applyFill="1" applyBorder="1" applyAlignment="1">
      <alignment horizontal="left" wrapText="1"/>
    </xf>
    <xf numFmtId="0" fontId="18" fillId="0" borderId="0" xfId="0" applyFont="1" applyFill="1" applyBorder="1" applyAlignment="1">
      <alignment horizontal="left"/>
    </xf>
    <xf numFmtId="164" fontId="11" fillId="2" borderId="0" xfId="2" applyNumberFormat="1" applyFont="1" applyFill="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center"/>
    </xf>
    <xf numFmtId="0" fontId="0" fillId="0" borderId="0" xfId="0" applyAlignment="1">
      <alignment horizontal="center"/>
    </xf>
    <xf numFmtId="0" fontId="20" fillId="5" borderId="0" xfId="5" applyFill="1">
      <alignment vertical="center"/>
    </xf>
    <xf numFmtId="0" fontId="21" fillId="5" borderId="0" xfId="5" applyFont="1" applyFill="1" applyAlignment="1">
      <alignment horizontal="right" vertical="center" indent="1"/>
    </xf>
    <xf numFmtId="0" fontId="20" fillId="0" borderId="0" xfId="5">
      <alignment vertical="center"/>
    </xf>
    <xf numFmtId="0" fontId="20" fillId="6" borderId="0" xfId="5" applyFill="1">
      <alignment vertical="center"/>
    </xf>
    <xf numFmtId="0" fontId="20" fillId="0" borderId="0" xfId="5" applyFont="1" applyAlignment="1">
      <alignment horizontal="right" vertical="center" indent="1"/>
    </xf>
    <xf numFmtId="0" fontId="20" fillId="8" borderId="0" xfId="5" applyFill="1">
      <alignment vertical="center"/>
    </xf>
    <xf numFmtId="0" fontId="20" fillId="0" borderId="0" xfId="5" applyFont="1" applyFill="1" applyBorder="1" applyAlignment="1">
      <alignment horizontal="right" vertical="center" indent="1"/>
    </xf>
    <xf numFmtId="0" fontId="20" fillId="0" borderId="0" xfId="5" applyAlignment="1">
      <alignment horizontal="right" vertical="center" indent="1"/>
    </xf>
    <xf numFmtId="1" fontId="20" fillId="0" borderId="0" xfId="5" applyNumberFormat="1">
      <alignment vertical="center"/>
    </xf>
    <xf numFmtId="1" fontId="20" fillId="8" borderId="0" xfId="5" applyNumberFormat="1" applyFill="1">
      <alignment vertical="center"/>
    </xf>
    <xf numFmtId="1" fontId="20" fillId="0" borderId="2" xfId="5" applyNumberFormat="1" applyBorder="1">
      <alignment vertical="center"/>
    </xf>
    <xf numFmtId="1" fontId="20" fillId="8" borderId="2" xfId="5" applyNumberFormat="1" applyFill="1" applyBorder="1">
      <alignment vertical="center"/>
    </xf>
    <xf numFmtId="1" fontId="20" fillId="8" borderId="0" xfId="5" applyNumberFormat="1" applyFill="1" applyAlignment="1">
      <alignment horizontal="right" vertical="center" indent="1"/>
    </xf>
    <xf numFmtId="1" fontId="20" fillId="0" borderId="0" xfId="5" applyNumberFormat="1" applyAlignment="1">
      <alignment horizontal="right" vertical="center" indent="1"/>
    </xf>
    <xf numFmtId="1" fontId="20" fillId="0" borderId="2" xfId="5" applyNumberFormat="1" applyBorder="1" applyAlignment="1">
      <alignment horizontal="right" vertical="center" indent="1"/>
    </xf>
    <xf numFmtId="1" fontId="20" fillId="8" borderId="2" xfId="5" applyNumberFormat="1" applyFill="1" applyBorder="1" applyAlignment="1">
      <alignment horizontal="right" vertical="center" indent="1"/>
    </xf>
    <xf numFmtId="0" fontId="5" fillId="0" borderId="0" xfId="0" applyFont="1" applyFill="1" applyBorder="1" applyAlignment="1">
      <alignment horizontal="center" vertical="center" wrapText="1"/>
    </xf>
    <xf numFmtId="44" fontId="20" fillId="7" borderId="0" xfId="5" applyNumberFormat="1" applyFill="1" applyAlignment="1">
      <alignment horizontal="right" vertical="center" indent="1"/>
    </xf>
    <xf numFmtId="0" fontId="0" fillId="0" borderId="0" xfId="0" applyNumberFormat="1" applyAlignment="1">
      <alignment horizontal="center"/>
    </xf>
    <xf numFmtId="166" fontId="0" fillId="0" borderId="0" xfId="0" applyNumberFormat="1" applyAlignment="1">
      <alignment horizontal="center"/>
    </xf>
    <xf numFmtId="44" fontId="20" fillId="0" borderId="0" xfId="5" applyNumberFormat="1" applyFont="1" applyFill="1" applyBorder="1" applyAlignment="1">
      <alignment horizontal="right" vertical="center" indent="1"/>
    </xf>
    <xf numFmtId="44" fontId="20" fillId="9" borderId="0" xfId="5" applyNumberFormat="1" applyFont="1" applyFill="1" applyBorder="1" applyAlignment="1">
      <alignment horizontal="right" vertical="center" indent="1"/>
    </xf>
    <xf numFmtId="44" fontId="20" fillId="8" borderId="0" xfId="5" applyNumberFormat="1" applyFill="1">
      <alignment vertical="center"/>
    </xf>
    <xf numFmtId="44" fontId="20" fillId="0" borderId="2" xfId="5" applyNumberFormat="1" applyBorder="1" applyAlignment="1">
      <alignment horizontal="right" vertical="center" indent="1"/>
    </xf>
    <xf numFmtId="44" fontId="20" fillId="8" borderId="2" xfId="5" applyNumberFormat="1" applyFill="1" applyBorder="1" applyAlignment="1">
      <alignment horizontal="right" vertical="center" indent="1"/>
    </xf>
    <xf numFmtId="0" fontId="21" fillId="11" borderId="0" xfId="5" applyFont="1" applyFill="1" applyAlignment="1">
      <alignment horizontal="right" vertical="center" indent="1"/>
    </xf>
    <xf numFmtId="0" fontId="23" fillId="10" borderId="2" xfId="6" applyFont="1" applyAlignment="1">
      <alignment horizontal="right" vertical="center" indent="2"/>
    </xf>
    <xf numFmtId="0" fontId="20" fillId="0" borderId="0" xfId="5" applyAlignment="1">
      <alignment horizontal="center" vertical="center"/>
    </xf>
    <xf numFmtId="0" fontId="16" fillId="4" borderId="0" xfId="0" applyFont="1" applyFill="1" applyBorder="1" applyAlignment="1">
      <alignment horizontal="center"/>
    </xf>
    <xf numFmtId="0" fontId="24" fillId="12" borderId="3" xfId="5" applyNumberFormat="1" applyFont="1" applyFill="1" applyBorder="1" applyAlignment="1">
      <alignment horizontal="right" vertical="center" indent="1"/>
    </xf>
    <xf numFmtId="0" fontId="24" fillId="12" borderId="0" xfId="5" applyNumberFormat="1" applyFont="1" applyFill="1" applyBorder="1" applyAlignment="1">
      <alignment horizontal="right" vertical="center" indent="1"/>
    </xf>
    <xf numFmtId="0" fontId="24" fillId="12" borderId="4" xfId="5" applyNumberFormat="1" applyFont="1" applyFill="1" applyBorder="1" applyAlignment="1">
      <alignment horizontal="right" vertical="center" indent="1"/>
    </xf>
    <xf numFmtId="0" fontId="0" fillId="5" borderId="0" xfId="0" applyFill="1" applyAlignment="1">
      <alignment vertical="center"/>
    </xf>
    <xf numFmtId="0" fontId="25" fillId="5" borderId="0" xfId="0" applyFont="1" applyFill="1" applyAlignment="1">
      <alignment vertical="center"/>
    </xf>
    <xf numFmtId="0" fontId="29" fillId="5" borderId="0" xfId="0" applyFont="1" applyFill="1" applyAlignment="1">
      <alignment vertical="center"/>
    </xf>
    <xf numFmtId="0" fontId="21" fillId="5" borderId="0" xfId="0" applyFont="1" applyFill="1" applyAlignment="1">
      <alignment vertical="center"/>
    </xf>
    <xf numFmtId="0" fontId="0" fillId="0" borderId="0" xfId="0" applyAlignment="1">
      <alignment vertical="center"/>
    </xf>
    <xf numFmtId="0" fontId="30" fillId="11" borderId="0" xfId="5" applyFont="1" applyFill="1" applyAlignment="1">
      <alignment horizontal="left" vertical="center"/>
    </xf>
    <xf numFmtId="0" fontId="31" fillId="11" borderId="0" xfId="3" applyFont="1" applyFill="1" applyAlignment="1">
      <alignment horizontal="center" vertical="center"/>
    </xf>
    <xf numFmtId="0" fontId="20" fillId="0" borderId="0" xfId="5" applyFill="1">
      <alignment vertical="center"/>
    </xf>
    <xf numFmtId="0" fontId="26" fillId="0" borderId="0" xfId="5" applyFont="1" applyFill="1" applyAlignment="1">
      <alignment horizontal="left" vertical="center"/>
    </xf>
    <xf numFmtId="0" fontId="20" fillId="0" borderId="0" xfId="5" applyFill="1" applyAlignment="1">
      <alignment horizontal="center" vertical="center"/>
    </xf>
    <xf numFmtId="0" fontId="20" fillId="0" borderId="0" xfId="5" applyAlignment="1">
      <alignment horizontal="center" vertical="center"/>
    </xf>
    <xf numFmtId="167" fontId="20" fillId="13" borderId="3" xfId="5" applyNumberFormat="1" applyFont="1" applyFill="1" applyBorder="1" applyAlignment="1">
      <alignment horizontal="right" vertical="center" indent="1"/>
    </xf>
    <xf numFmtId="167" fontId="20" fillId="9" borderId="3" xfId="5" applyNumberFormat="1" applyFont="1" applyFill="1" applyBorder="1" applyAlignment="1">
      <alignment horizontal="right" vertical="center" indent="1"/>
    </xf>
    <xf numFmtId="167" fontId="20" fillId="0" borderId="0" xfId="5" applyNumberFormat="1" applyFont="1" applyBorder="1" applyAlignment="1">
      <alignment horizontal="right" vertical="center" indent="1"/>
    </xf>
    <xf numFmtId="167" fontId="20" fillId="9" borderId="0" xfId="5" applyNumberFormat="1" applyFont="1" applyFill="1" applyBorder="1" applyAlignment="1">
      <alignment horizontal="right" vertical="center" indent="1"/>
    </xf>
    <xf numFmtId="167" fontId="20" fillId="13" borderId="0" xfId="5" applyNumberFormat="1" applyFont="1" applyFill="1" applyBorder="1" applyAlignment="1">
      <alignment horizontal="right" vertical="center" indent="1"/>
    </xf>
    <xf numFmtId="167" fontId="20" fillId="0" borderId="4" xfId="5" applyNumberFormat="1" applyFont="1" applyBorder="1" applyAlignment="1">
      <alignment horizontal="right" vertical="center" indent="1"/>
    </xf>
    <xf numFmtId="167" fontId="20" fillId="9" borderId="4" xfId="5" applyNumberFormat="1" applyFont="1" applyFill="1" applyBorder="1" applyAlignment="1">
      <alignment horizontal="right" vertical="center" indent="1"/>
    </xf>
    <xf numFmtId="0" fontId="34" fillId="0" borderId="0" xfId="0" applyFont="1" applyFill="1" applyBorder="1" applyAlignment="1">
      <alignment horizontal="center" vertical="center"/>
    </xf>
    <xf numFmtId="0" fontId="34" fillId="0" borderId="0" xfId="0" applyFont="1" applyFill="1" applyBorder="1" applyAlignment="1">
      <alignment horizontal="center" vertical="center" wrapText="1"/>
    </xf>
    <xf numFmtId="0" fontId="17" fillId="0" borderId="0" xfId="0" applyFont="1" applyFill="1" applyBorder="1" applyAlignment="1">
      <alignment vertical="center"/>
    </xf>
    <xf numFmtId="0" fontId="17" fillId="0" borderId="0" xfId="0" applyFont="1" applyFill="1" applyBorder="1" applyAlignment="1">
      <alignment horizontal="center" vertical="center"/>
    </xf>
    <xf numFmtId="0" fontId="17" fillId="0" borderId="0" xfId="0" applyFont="1" applyFill="1" applyBorder="1" applyAlignment="1">
      <alignment horizontal="center" vertical="center" wrapText="1"/>
    </xf>
    <xf numFmtId="44" fontId="17" fillId="0" borderId="0" xfId="0" applyNumberFormat="1" applyFont="1" applyFill="1" applyBorder="1" applyAlignment="1">
      <alignment vertical="center"/>
    </xf>
    <xf numFmtId="9" fontId="17" fillId="0" borderId="0" xfId="7" applyFont="1" applyFill="1" applyBorder="1" applyAlignment="1">
      <alignment horizontal="center" vertical="center" wrapText="1"/>
    </xf>
    <xf numFmtId="0" fontId="35" fillId="0" borderId="0" xfId="0" applyFont="1" applyFill="1" applyBorder="1" applyAlignment="1">
      <alignment vertical="center"/>
    </xf>
    <xf numFmtId="0" fontId="34" fillId="0" borderId="0" xfId="0" applyFont="1"/>
    <xf numFmtId="44" fontId="34" fillId="0" borderId="0" xfId="0" applyNumberFormat="1" applyFont="1"/>
    <xf numFmtId="44" fontId="20" fillId="9" borderId="3" xfId="5" applyNumberFormat="1" applyFont="1" applyFill="1" applyBorder="1" applyAlignment="1">
      <alignment horizontal="right" vertical="center" indent="1"/>
    </xf>
    <xf numFmtId="0" fontId="0" fillId="4" borderId="0" xfId="0" quotePrefix="1" applyFill="1" applyBorder="1"/>
    <xf numFmtId="0" fontId="37" fillId="2" borderId="0" xfId="0" applyFont="1" applyFill="1" applyAlignment="1">
      <alignment vertical="center"/>
    </xf>
    <xf numFmtId="0" fontId="0" fillId="2" borderId="0" xfId="0" applyFill="1" applyBorder="1"/>
    <xf numFmtId="10" fontId="7" fillId="2" borderId="0" xfId="7" applyNumberFormat="1" applyFont="1" applyFill="1" applyAlignment="1">
      <alignment horizontal="right"/>
    </xf>
    <xf numFmtId="0" fontId="20" fillId="0" borderId="0" xfId="0" applyNumberFormat="1" applyFont="1" applyFill="1" applyBorder="1" applyAlignment="1" applyProtection="1">
      <alignment horizontal="right" vertical="center" indent="1"/>
    </xf>
    <xf numFmtId="44" fontId="20" fillId="0" borderId="0" xfId="0" applyNumberFormat="1" applyFont="1" applyFill="1" applyBorder="1" applyAlignment="1" applyProtection="1">
      <alignment horizontal="right" vertical="center" indent="1"/>
    </xf>
    <xf numFmtId="44" fontId="20" fillId="9" borderId="0" xfId="0" applyNumberFormat="1" applyFont="1" applyFill="1" applyBorder="1" applyAlignment="1" applyProtection="1">
      <alignment horizontal="right" vertical="center" indent="1"/>
    </xf>
    <xf numFmtId="0" fontId="43" fillId="0" borderId="0" xfId="0" applyFont="1"/>
    <xf numFmtId="44" fontId="44" fillId="0" borderId="0" xfId="0" applyNumberFormat="1" applyFont="1" applyFill="1" applyAlignment="1">
      <alignment horizontal="center"/>
    </xf>
    <xf numFmtId="0" fontId="44" fillId="0" borderId="0" xfId="0" applyFont="1" applyFill="1" applyAlignment="1">
      <alignment horizontal="center"/>
    </xf>
    <xf numFmtId="0" fontId="45" fillId="0" borderId="0" xfId="0" applyNumberFormat="1" applyFont="1" applyFill="1" applyBorder="1" applyAlignment="1" applyProtection="1">
      <alignment horizontal="right" vertical="center" indent="1"/>
    </xf>
    <xf numFmtId="44" fontId="45" fillId="0" borderId="0" xfId="0" applyNumberFormat="1" applyFont="1" applyFill="1" applyBorder="1" applyAlignment="1" applyProtection="1">
      <alignment horizontal="right" vertical="center" indent="1"/>
    </xf>
    <xf numFmtId="44" fontId="45" fillId="9" borderId="0" xfId="0" applyNumberFormat="1" applyFont="1" applyFill="1" applyBorder="1" applyAlignment="1" applyProtection="1">
      <alignment horizontal="right" vertical="center" indent="1"/>
    </xf>
    <xf numFmtId="0" fontId="46" fillId="0" borderId="0" xfId="0" applyFont="1" applyFill="1" applyAlignment="1">
      <alignment horizontal="left" wrapText="1"/>
    </xf>
    <xf numFmtId="44" fontId="44" fillId="0" borderId="0" xfId="0" applyNumberFormat="1" applyFont="1" applyFill="1" applyAlignment="1">
      <alignment horizontal="right" vertical="center" indent="5"/>
    </xf>
    <xf numFmtId="0" fontId="33" fillId="5" borderId="0" xfId="5" applyFont="1" applyFill="1" applyAlignment="1">
      <alignment horizontal="center" vertical="center"/>
    </xf>
    <xf numFmtId="0" fontId="32" fillId="0" borderId="0" xfId="9" applyFont="1" applyAlignment="1">
      <alignment horizontal="center" vertical="center"/>
    </xf>
    <xf numFmtId="167" fontId="36" fillId="0" borderId="0" xfId="8" applyNumberFormat="1" applyFont="1" applyAlignment="1">
      <alignment horizontal="center" vertical="center"/>
    </xf>
    <xf numFmtId="164" fontId="11" fillId="2" borderId="0" xfId="2" applyNumberFormat="1" applyFont="1" applyFill="1" applyAlignment="1">
      <alignment horizontal="center" vertical="center" wrapText="1"/>
    </xf>
    <xf numFmtId="0" fontId="13" fillId="3" borderId="0" xfId="1" applyFont="1" applyBorder="1" applyAlignment="1">
      <alignment horizontal="left" vertical="center"/>
    </xf>
    <xf numFmtId="164" fontId="14" fillId="2" borderId="0" xfId="2" applyNumberFormat="1" applyFont="1" applyFill="1" applyAlignment="1">
      <alignment horizontal="center" vertical="center" wrapText="1"/>
    </xf>
    <xf numFmtId="0" fontId="20" fillId="0" borderId="0" xfId="5" applyAlignment="1">
      <alignment horizontal="center" vertical="center"/>
    </xf>
    <xf numFmtId="44" fontId="20" fillId="0" borderId="0" xfId="5" applyNumberFormat="1" applyAlignment="1">
      <alignment horizontal="center" vertical="center"/>
    </xf>
    <xf numFmtId="0" fontId="6" fillId="2" borderId="0" xfId="0" applyFont="1" applyFill="1" applyAlignment="1">
      <alignment horizontal="left" vertical="top" wrapText="1"/>
    </xf>
  </cellXfs>
  <cellStyles count="16">
    <cellStyle name="Dashboard Labels" xfId="9"/>
    <cellStyle name="Dashboard Values" xfId="8"/>
    <cellStyle name="Heading 1" xfId="2" builtinId="16" customBuiltin="1"/>
    <cellStyle name="Heading 1 2" xfId="12"/>
    <cellStyle name="Heading 2" xfId="3" builtinId="17" customBuiltin="1"/>
    <cellStyle name="Heading 2 2" xfId="13"/>
    <cellStyle name="Heading 3" xfId="4" builtinId="18" customBuiltin="1"/>
    <cellStyle name="Heading 3 2" xfId="14"/>
    <cellStyle name="Normal" xfId="0" builtinId="0" customBuiltin="1"/>
    <cellStyle name="Normal 2" xfId="5"/>
    <cellStyle name="Normal 3" xfId="10"/>
    <cellStyle name="Normal 4" xfId="15"/>
    <cellStyle name="Percent" xfId="7" builtinId="5"/>
    <cellStyle name="Table Title" xfId="6"/>
    <cellStyle name="Title" xfId="1" builtinId="15" customBuiltin="1"/>
    <cellStyle name="Title 2" xfId="11"/>
  </cellStyles>
  <dxfs count="793">
    <dxf>
      <font>
        <b val="0"/>
        <i val="0"/>
        <strike val="0"/>
        <condense val="0"/>
        <extend val="0"/>
        <outline val="0"/>
        <shadow val="0"/>
        <u val="none"/>
        <vertAlign val="baseline"/>
        <sz val="11"/>
        <color theme="2"/>
        <name val="Calibri"/>
        <scheme val="minor"/>
      </font>
      <fill>
        <patternFill patternType="solid">
          <fgColor indexed="64"/>
          <bgColor theme="3"/>
        </patternFill>
      </fill>
      <alignment horizontal="general" vertical="center" textRotation="0" wrapText="0" indent="0" justifyLastLine="0" shrinkToFit="0" readingOrder="0"/>
    </dxf>
    <dxf>
      <font>
        <b val="0"/>
        <i val="0"/>
        <strike val="0"/>
        <condense val="0"/>
        <extend val="0"/>
        <outline val="0"/>
        <shadow val="0"/>
        <u val="none"/>
        <vertAlign val="baseline"/>
        <sz val="11"/>
        <color theme="2"/>
        <name val="Calibri"/>
        <scheme val="minor"/>
      </font>
      <fill>
        <patternFill patternType="solid">
          <fgColor indexed="64"/>
          <bgColor theme="3"/>
        </patternFill>
      </fill>
      <alignment horizontal="general" vertical="center" textRotation="0" wrapText="0" indent="0" justifyLastLine="0" shrinkToFit="0" readingOrder="0"/>
    </dxf>
    <dxf>
      <fill>
        <patternFill patternType="solid">
          <fgColor indexed="64"/>
          <bgColor theme="3"/>
        </patternFill>
      </fill>
    </dxf>
    <dxf>
      <fill>
        <patternFill patternType="solid">
          <fgColor indexed="64"/>
          <bgColor theme="3"/>
        </patternFill>
      </fill>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z val="9"/>
        <color theme="1"/>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top/>
        <bottom/>
      </border>
    </dxf>
    <dxf>
      <numFmt numFmtId="34" formatCode="_(&quot;$&quot;* #,##0.00_);_(&quot;$&quot;* \(#,##0.00\);_(&quot;$&quot;* &quot;-&quot;??_);_(@_)"/>
    </dxf>
    <dxf>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solid">
          <fgColor indexed="64"/>
          <bgColor theme="2" tint="-0.249977111117893"/>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fill>
        <patternFill>
          <bgColor theme="2" tint="-0.249977111117893"/>
        </patternFill>
      </fill>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34" formatCode="_(&quot;$&quot;* #,##0.00_);_(&quot;$&quot;* \(#,##0.00\);_(&quot;$&quot;* &quot;-&quot;??_);_(@_)"/>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numFmt numFmtId="34" formatCode="_(&quot;$&quot;* #,##0.00_);_(&quot;$&quot;* \(#,##0.00\);_(&quot;$&quot;* &quot;-&quot;??_);_(@_)"/>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alignment horizontal="righ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1"/>
        <name val="Calibri"/>
        <scheme val="minor"/>
      </font>
      <fill>
        <patternFill patternType="lightGrid">
          <fgColor theme="2"/>
          <bgColor theme="0" tint="-4.9989318521683403E-2"/>
        </patternFill>
      </fill>
      <border diagonalUp="0" diagonalDown="0" outline="0">
        <left/>
        <right/>
        <top/>
        <bottom/>
      </border>
    </dxf>
    <dxf>
      <font>
        <b val="0"/>
        <i val="0"/>
        <strike val="0"/>
        <condense val="0"/>
        <extend val="0"/>
        <outline val="0"/>
        <shadow val="0"/>
        <u val="none"/>
        <vertAlign val="baseline"/>
        <sz val="11"/>
        <color theme="2"/>
        <name val="Calibri"/>
        <scheme val="minor"/>
      </font>
      <numFmt numFmtId="164" formatCode="&quot;$&quot;#,##0.00"/>
      <fill>
        <patternFill patternType="solid">
          <fgColor indexed="64"/>
          <bgColor theme="3"/>
        </patternFill>
      </fill>
      <alignment horizontal="general" vertical="center" textRotation="0" wrapText="0" indent="0" justifyLastLine="0" shrinkToFit="0" readingOrder="0"/>
    </dxf>
    <dxf>
      <font>
        <b val="0"/>
        <i val="0"/>
        <strike val="0"/>
        <condense val="0"/>
        <extend val="0"/>
        <outline val="0"/>
        <shadow val="0"/>
        <u val="none"/>
        <vertAlign val="baseline"/>
        <sz val="11"/>
        <color theme="2"/>
        <name val="Calibri"/>
        <scheme val="minor"/>
      </font>
      <fill>
        <patternFill patternType="solid">
          <fgColor indexed="64"/>
          <bgColor theme="3"/>
        </patternFill>
      </fill>
      <alignment horizontal="general" vertical="center" textRotation="0" wrapText="0" indent="0" justifyLastLine="0" shrinkToFit="0" readingOrder="0"/>
    </dxf>
    <dxf>
      <numFmt numFmtId="166" formatCode="mmm"/>
      <alignment horizontal="center" vertical="bottom" textRotation="0" wrapText="0" indent="0" justifyLastLine="0" shrinkToFit="0" readingOrder="0"/>
    </dxf>
    <dxf>
      <numFmt numFmtId="166" formatCode="mmm"/>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numFmt numFmtId="34" formatCode="_(&quot;$&quot;* #,##0.00_);_(&quot;$&quot;* \(#,##0.00\);_(&quot;$&quot;*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numFmt numFmtId="34" formatCode="_(&quot;$&quot;* #,##0.00_);_(&quot;$&quot;* \(#,##0.00\);_(&quot;$&quot;* &quot;-&quot;??_);_(@_)"/>
      <fill>
        <patternFill patternType="none">
          <fgColor indexed="64"/>
          <bgColor indexed="65"/>
        </patternFill>
      </fill>
      <alignment horizontal="right" vertical="center" textRotation="0" wrapText="0" indent="5" justifyLastLine="0" shrinkToFit="0" readingOrder="0"/>
    </dxf>
    <dxf>
      <numFmt numFmtId="34" formatCode="_(&quot;$&quot;* #,##0.00_);_(&quot;$&quot;* \(#,##0.00\);_(&quot;$&quot;* &quot;-&quot;??_);_(@_)"/>
      <alignment horizontal="right" vertical="center" textRotation="0" wrapText="0" indent="5" justifyLastLine="0" shrinkToFit="0" readingOrder="0"/>
    </dxf>
    <dxf>
      <font>
        <b val="0"/>
        <i val="0"/>
        <strike val="0"/>
        <condense val="0"/>
        <extend val="0"/>
        <outline val="0"/>
        <shadow val="0"/>
        <u val="none"/>
        <vertAlign val="baseline"/>
        <sz val="10"/>
        <color theme="1"/>
        <name val="Calibri"/>
        <scheme val="minor"/>
      </font>
      <numFmt numFmtId="164" formatCode="&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numFmt numFmtId="34" formatCode="_(&quot;$&quot;* #,##0.00_);_(&quot;$&quot;* \(#,##0.00\);_(&quot;$&quot;* &quot;-&quot;??_);_(@_)"/>
    </dxf>
    <dxf>
      <font>
        <b val="0"/>
        <i val="0"/>
        <strike val="0"/>
        <condense val="0"/>
        <extend val="0"/>
        <outline val="0"/>
        <shadow val="0"/>
        <u val="none"/>
        <vertAlign val="baseline"/>
        <sz val="10"/>
        <color theme="1"/>
        <name val="Calibri"/>
        <scheme val="minor"/>
      </font>
      <numFmt numFmtId="164" formatCode="&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numFmt numFmtId="34" formatCode="_(&quot;$&quot;* #,##0.00_);_(&quot;$&quot;* \(#,##0.00\);_(&quot;$&quot;* &quot;-&quot;??_);_(@_)"/>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strike val="0"/>
        <outline val="0"/>
        <shadow val="0"/>
        <u val="none"/>
        <vertAlign val="baseline"/>
        <sz val="10"/>
        <color theme="3"/>
        <name val="Calibri"/>
        <scheme val="minor"/>
      </font>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8"/>
        <color theme="3"/>
        <name val="Calibri"/>
        <scheme val="minor"/>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169" formatCode="mm/dd/yyyy"/>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165" formatCode="mm/dd/yy;@"/>
      <alignment horizontal="right" vertical="bottom" textRotation="0" wrapText="0" indent="1"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3"/>
        <name val="Calibri"/>
        <scheme val="major"/>
      </font>
      <alignment vertical="center" textRotation="0" wrapText="0" indent="0" justifyLastLine="0" shrinkToFit="0" readingOrder="0"/>
    </dxf>
    <dxf>
      <font>
        <color rgb="FFFF0000"/>
      </font>
    </dxf>
    <dxf>
      <font>
        <b val="0"/>
        <i val="0"/>
        <strike val="0"/>
        <condense val="0"/>
        <extend val="0"/>
        <outline val="0"/>
        <shadow val="0"/>
        <u val="none"/>
        <vertAlign val="baseline"/>
        <sz val="11"/>
        <color theme="2"/>
        <name val="Calibri"/>
        <scheme val="minor"/>
      </font>
      <numFmt numFmtId="164" formatCode="&quot;$&quot;#,##0.00"/>
      <fill>
        <patternFill patternType="solid">
          <fgColor indexed="64"/>
          <bgColor theme="3"/>
        </patternFill>
      </fill>
      <alignment horizontal="general" vertical="center" textRotation="0" wrapText="0" indent="0" justifyLastLine="0" shrinkToFit="0" readingOrder="0"/>
    </dxf>
    <dxf>
      <font>
        <b val="0"/>
        <i val="0"/>
        <strike val="0"/>
        <condense val="0"/>
        <extend val="0"/>
        <outline val="0"/>
        <shadow val="0"/>
        <u val="none"/>
        <vertAlign val="baseline"/>
        <sz val="11"/>
        <color theme="2"/>
        <name val="Calibri"/>
        <scheme val="minor"/>
      </font>
      <fill>
        <patternFill patternType="solid">
          <fgColor indexed="64"/>
          <bgColor theme="3"/>
        </patternFill>
      </fill>
      <alignment horizontal="general" vertical="center" textRotation="0" wrapText="0" indent="0" justifyLastLine="0" shrinkToFit="0" readingOrder="0"/>
    </dxf>
    <dxf>
      <numFmt numFmtId="0" formatCode="General"/>
      <alignment horizontal="center" textRotation="0" indent="0" justifyLastLine="0" shrinkToFit="0" readingOrder="0"/>
    </dxf>
    <dxf>
      <font>
        <b val="0"/>
        <i val="0"/>
        <strike val="0"/>
        <condense val="0"/>
        <extend val="0"/>
        <outline val="0"/>
        <shadow val="0"/>
        <u val="none"/>
        <vertAlign val="baseline"/>
        <sz val="11"/>
        <color theme="3"/>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numFmt numFmtId="34" formatCode="_(&quot;$&quot;* #,##0.00_);_(&quot;$&quot;* \(#,##0.00\);_(&quot;$&quot;*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numFmt numFmtId="34" formatCode="_(&quot;$&quot;* #,##0.00_);_(&quot;$&quot;* \(#,##0.00\);_(&quot;$&quot;* &quot;-&quot;??_);_(@_)"/>
      <fill>
        <patternFill patternType="none">
          <fgColor indexed="64"/>
          <bgColor indexed="65"/>
        </patternFill>
      </fill>
      <alignment horizontal="right" vertical="center" textRotation="0" wrapText="0" indent="5" justifyLastLine="0" shrinkToFit="0" readingOrder="0"/>
    </dxf>
    <dxf>
      <numFmt numFmtId="34" formatCode="_(&quot;$&quot;* #,##0.00_);_(&quot;$&quot;* \(#,##0.00\);_(&quot;$&quot;* &quot;-&quot;??_);_(@_)"/>
      <alignment horizontal="right" vertical="center" textRotation="0" wrapText="0" indent="5" justifyLastLine="0" shrinkToFit="0" readingOrder="0"/>
    </dxf>
    <dxf>
      <font>
        <b val="0"/>
        <i val="0"/>
        <strike val="0"/>
        <condense val="0"/>
        <extend val="0"/>
        <outline val="0"/>
        <shadow val="0"/>
        <u val="none"/>
        <vertAlign val="baseline"/>
        <sz val="10"/>
        <color theme="1"/>
        <name val="Calibri"/>
        <scheme val="minor"/>
      </font>
      <numFmt numFmtId="164" formatCode="&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numFmt numFmtId="34" formatCode="_(&quot;$&quot;* #,##0.00_);_(&quot;$&quot;* \(#,##0.00\);_(&quot;$&quot;* &quot;-&quot;??_);_(@_)"/>
    </dxf>
    <dxf>
      <font>
        <b val="0"/>
        <i val="0"/>
        <strike val="0"/>
        <condense val="0"/>
        <extend val="0"/>
        <outline val="0"/>
        <shadow val="0"/>
        <u val="none"/>
        <vertAlign val="baseline"/>
        <sz val="10"/>
        <color theme="1"/>
        <name val="Calibri"/>
        <scheme val="minor"/>
      </font>
      <numFmt numFmtId="164" formatCode="&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numFmt numFmtId="34" formatCode="_(&quot;$&quot;* #,##0.00_);_(&quot;$&quot;* \(#,##0.00\);_(&quot;$&quot;* &quot;-&quot;??_);_(@_)"/>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strike val="0"/>
        <outline val="0"/>
        <shadow val="0"/>
        <u val="none"/>
        <vertAlign val="baseline"/>
        <sz val="10"/>
        <color theme="3"/>
        <name val="Calibri"/>
        <scheme val="minor"/>
      </font>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8"/>
        <color theme="3"/>
        <name val="Calibri"/>
        <scheme val="minor"/>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169" formatCode="mm/dd/yyyy"/>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165" formatCode="mm/dd/yy;@"/>
      <alignment horizontal="right" vertical="bottom" textRotation="0" wrapText="0" indent="1"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3"/>
        <name val="Calibri"/>
        <scheme val="major"/>
      </font>
      <alignment vertical="center" textRotation="0" wrapText="0" indent="0" justifyLastLine="0" shrinkToFit="0" readingOrder="0"/>
    </dxf>
    <dxf>
      <font>
        <color rgb="FFFF0000"/>
      </font>
    </dxf>
    <dxf>
      <font>
        <b val="0"/>
        <i val="0"/>
        <strike val="0"/>
        <condense val="0"/>
        <extend val="0"/>
        <outline val="0"/>
        <shadow val="0"/>
        <u val="none"/>
        <vertAlign val="baseline"/>
        <sz val="11"/>
        <color theme="2"/>
        <name val="Calibri"/>
        <scheme val="minor"/>
      </font>
      <numFmt numFmtId="164" formatCode="&quot;$&quot;#,##0.00"/>
      <fill>
        <patternFill patternType="solid">
          <fgColor indexed="64"/>
          <bgColor theme="3"/>
        </patternFill>
      </fill>
      <alignment horizontal="general" vertical="center" textRotation="0" wrapText="0" indent="0" justifyLastLine="0" shrinkToFit="0" readingOrder="0"/>
    </dxf>
    <dxf>
      <font>
        <b val="0"/>
        <i val="0"/>
        <strike val="0"/>
        <condense val="0"/>
        <extend val="0"/>
        <outline val="0"/>
        <shadow val="0"/>
        <u val="none"/>
        <vertAlign val="baseline"/>
        <sz val="11"/>
        <color theme="2"/>
        <name val="Calibri"/>
        <scheme val="minor"/>
      </font>
      <fill>
        <patternFill patternType="solid">
          <fgColor indexed="64"/>
          <bgColor theme="3"/>
        </patternFill>
      </fill>
      <alignment horizontal="general" vertical="center" textRotation="0" wrapText="0" indent="0" justifyLastLine="0" shrinkToFit="0" readingOrder="0"/>
    </dxf>
    <dxf>
      <numFmt numFmtId="0" formatCode="General"/>
      <alignment horizontal="center" vertical="bottom" textRotation="0" wrapText="0" indent="0" justifyLastLine="0" shrinkToFit="0" readingOrder="0"/>
    </dxf>
    <dxf>
      <numFmt numFmtId="166" formatCode="mmm"/>
      <alignment horizontal="center" vertical="bottom" textRotation="0" wrapText="0" indent="0" justifyLastLine="0" shrinkToFit="0" readingOrder="0"/>
    </dxf>
    <dxf>
      <numFmt numFmtId="0" formatCode="General"/>
      <alignment horizontal="center" textRotation="0" indent="0" justifyLastLine="0" shrinkToFit="0" readingOrder="0"/>
    </dxf>
    <dxf>
      <font>
        <b val="0"/>
        <i val="0"/>
        <strike val="0"/>
        <condense val="0"/>
        <extend val="0"/>
        <outline val="0"/>
        <shadow val="0"/>
        <u val="none"/>
        <vertAlign val="baseline"/>
        <sz val="11"/>
        <color theme="3"/>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numFmt numFmtId="34" formatCode="_(&quot;$&quot;* #,##0.00_);_(&quot;$&quot;* \(#,##0.00\);_(&quot;$&quot;* &quot;-&quot;??_);_(@_)"/>
      <fill>
        <patternFill patternType="none">
          <fgColor indexed="64"/>
          <bgColor indexed="65"/>
        </patternFill>
      </fill>
      <alignment horizontal="center" vertical="bottom" textRotation="0" wrapText="0" indent="0" justifyLastLine="0" shrinkToFit="0" readingOrder="0"/>
    </dxf>
    <dxf>
      <numFmt numFmtId="34" formatCode="_(&quot;$&quot;* #,##0.00_);_(&quot;$&quot;* \(#,##0.00\);_(&quot;$&quot;* &quot;-&quot;??_);_(@_)"/>
      <alignment horizontal="right" vertical="center" textRotation="0" wrapText="0" indent="5" justifyLastLine="0" shrinkToFit="0" readingOrder="0"/>
    </dxf>
    <dxf>
      <font>
        <b val="0"/>
        <i val="0"/>
        <strike val="0"/>
        <condense val="0"/>
        <extend val="0"/>
        <outline val="0"/>
        <shadow val="0"/>
        <u val="none"/>
        <vertAlign val="baseline"/>
        <sz val="10"/>
        <color theme="1"/>
        <name val="Calibri"/>
        <scheme val="minor"/>
      </font>
      <numFmt numFmtId="164" formatCode="&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numFmt numFmtId="34" formatCode="_(&quot;$&quot;* #,##0.00_);_(&quot;$&quot;* \(#,##0.00\);_(&quot;$&quot;* &quot;-&quot;??_);_(@_)"/>
    </dxf>
    <dxf>
      <font>
        <b val="0"/>
        <i val="0"/>
        <strike val="0"/>
        <condense val="0"/>
        <extend val="0"/>
        <outline val="0"/>
        <shadow val="0"/>
        <u val="none"/>
        <vertAlign val="baseline"/>
        <sz val="10"/>
        <color theme="1"/>
        <name val="Calibri"/>
        <scheme val="minor"/>
      </font>
      <numFmt numFmtId="164" formatCode="&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numFmt numFmtId="34" formatCode="_(&quot;$&quot;* #,##0.00_);_(&quot;$&quot;* \(#,##0.00\);_(&quot;$&quot;* &quot;-&quot;??_);_(@_)"/>
    </dxf>
    <dxf>
      <font>
        <strike val="0"/>
        <outline val="0"/>
        <shadow val="0"/>
        <u val="none"/>
        <vertAlign val="baseline"/>
        <sz val="10"/>
        <color theme="3"/>
        <name val="Calibri"/>
        <scheme val="minor"/>
      </font>
    </dxf>
    <dxf>
      <font>
        <b val="0"/>
        <i val="0"/>
        <strike val="0"/>
        <condense val="0"/>
        <extend val="0"/>
        <outline val="0"/>
        <shadow val="0"/>
        <u val="none"/>
        <vertAlign val="baseline"/>
        <sz val="8"/>
        <color theme="3"/>
        <name val="Calibri"/>
        <scheme val="minor"/>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169" formatCode="mm/dd/yyyy"/>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165" formatCode="mm/dd/yy;@"/>
      <alignment horizontal="right" vertical="bottom" textRotation="0" wrapText="0" indent="1"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3"/>
        <name val="Calibri"/>
        <scheme val="major"/>
      </font>
      <alignment vertical="center" textRotation="0" wrapText="0" indent="0" justifyLastLine="0" shrinkToFit="0" readingOrder="0"/>
    </dxf>
    <dxf>
      <font>
        <color rgb="FFFF0000"/>
      </font>
    </dxf>
    <dxf>
      <font>
        <strike val="0"/>
        <outline val="0"/>
        <shadow val="0"/>
        <u val="none"/>
        <vertAlign val="baseline"/>
        <sz val="9"/>
        <color theme="3"/>
        <name val="Calibri"/>
        <scheme val="minor"/>
      </font>
    </dxf>
    <dxf>
      <font>
        <strike val="0"/>
        <outline val="0"/>
        <shadow val="0"/>
        <u val="none"/>
        <vertAlign val="baseline"/>
        <sz val="8"/>
        <color theme="3"/>
        <name val="Calibri"/>
        <scheme val="minor"/>
      </font>
      <fill>
        <patternFill patternType="none">
          <fgColor indexed="64"/>
          <bgColor auto="1"/>
        </patternFill>
      </fill>
    </dxf>
    <dxf>
      <font>
        <strike val="0"/>
        <outline val="0"/>
        <shadow val="0"/>
        <u val="none"/>
        <vertAlign val="baseline"/>
        <sz val="9"/>
        <color theme="3"/>
        <name val="Calibri"/>
        <scheme val="minor"/>
      </font>
    </dxf>
    <dxf>
      <font>
        <b val="0"/>
        <i val="0"/>
        <strike val="0"/>
        <condense val="0"/>
        <extend val="0"/>
        <outline val="0"/>
        <shadow val="0"/>
        <u val="none"/>
        <vertAlign val="baseline"/>
        <sz val="8"/>
        <color theme="3"/>
        <name val="Calibri"/>
        <scheme val="minor"/>
      </font>
      <numFmt numFmtId="34" formatCode="_(&quot;$&quot;* #,##0.00_);_(&quot;$&quot;* \(#,##0.00\);_(&quot;$&quot;* &quot;-&quot;??_);_(@_)"/>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9"/>
        <color theme="3"/>
        <name val="Calibri"/>
        <scheme val="minor"/>
      </font>
    </dxf>
    <dxf>
      <font>
        <b val="0"/>
        <i val="0"/>
        <strike val="0"/>
        <condense val="0"/>
        <extend val="0"/>
        <outline val="0"/>
        <shadow val="0"/>
        <u val="none"/>
        <vertAlign val="baseline"/>
        <sz val="8"/>
        <color theme="3"/>
        <name val="Calibri"/>
        <scheme val="minor"/>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9"/>
        <color theme="3"/>
        <name val="Calibri"/>
        <scheme val="minor"/>
      </font>
      <fill>
        <patternFill patternType="none">
          <fgColor indexed="64"/>
          <bgColor auto="1"/>
        </patternFill>
      </fill>
    </dxf>
    <dxf>
      <font>
        <strike val="0"/>
        <outline val="0"/>
        <shadow val="0"/>
        <u val="none"/>
        <vertAlign val="baseline"/>
        <sz val="8"/>
        <color theme="3"/>
        <name val="Calibri"/>
        <scheme val="minor"/>
      </font>
      <fill>
        <patternFill patternType="none">
          <fgColor indexed="64"/>
          <bgColor auto="1"/>
        </patternFill>
      </fill>
    </dxf>
    <dxf>
      <font>
        <strike val="0"/>
        <outline val="0"/>
        <shadow val="0"/>
        <u val="none"/>
        <vertAlign val="baseline"/>
        <sz val="8"/>
        <color theme="3"/>
        <name val="Calibri"/>
        <scheme val="minor"/>
      </font>
      <fill>
        <patternFill patternType="none">
          <fgColor indexed="64"/>
          <bgColor auto="1"/>
        </patternFill>
      </fill>
    </dxf>
    <dxf>
      <font>
        <b val="0"/>
        <i val="0"/>
        <color theme="3" tint="0.24994659260841701"/>
      </font>
      <fill>
        <patternFill>
          <bgColor theme="2" tint="-9.9948118533890809E-2"/>
        </patternFill>
      </fill>
      <border>
        <top style="double">
          <color theme="3" tint="9.9948118533890809E-2"/>
        </top>
      </border>
    </dxf>
    <dxf>
      <font>
        <b val="0"/>
        <i val="0"/>
        <color theme="4"/>
      </font>
      <fill>
        <patternFill patternType="solid">
          <fgColor theme="1"/>
          <bgColor theme="2" tint="-9.9948118533890809E-2"/>
        </patternFill>
      </fill>
      <border diagonalUp="0" diagonalDown="0">
        <left/>
        <right/>
        <top/>
        <bottom style="thin">
          <color theme="2" tint="-0.24994659260841701"/>
        </bottom>
        <vertical/>
        <horizontal/>
      </border>
    </dxf>
    <dxf>
      <font>
        <b val="0"/>
        <i val="0"/>
        <color theme="3" tint="0.24994659260841701"/>
      </font>
      <fill>
        <patternFill>
          <bgColor theme="2" tint="-9.9948118533890809E-2"/>
        </patternFill>
      </fill>
      <border diagonalUp="0" diagonalDown="0">
        <left/>
        <right/>
        <top/>
        <bottom/>
        <vertical/>
        <horizontal style="thin">
          <color theme="2" tint="-0.24994659260841701"/>
        </horizontal>
      </border>
    </dxf>
    <dxf>
      <fill>
        <patternFill>
          <bgColor theme="2"/>
        </patternFill>
      </fill>
    </dxf>
    <dxf>
      <font>
        <b/>
        <i val="0"/>
      </font>
      <fill>
        <patternFill>
          <bgColor theme="2"/>
        </patternFill>
      </fill>
    </dxf>
    <dxf>
      <fill>
        <patternFill>
          <bgColor theme="2"/>
        </patternFill>
      </fill>
    </dxf>
    <dxf>
      <font>
        <color theme="2"/>
      </font>
    </dxf>
    <dxf>
      <fill>
        <patternFill patternType="solid">
          <fgColor auto="1"/>
          <bgColor theme="2" tint="-9.9948118533890809E-2"/>
        </patternFill>
      </fill>
    </dxf>
    <dxf>
      <fill>
        <patternFill patternType="none">
          <bgColor auto="1"/>
        </patternFill>
      </fill>
    </dxf>
    <dxf>
      <font>
        <color theme="0"/>
      </font>
      <fill>
        <patternFill patternType="solid">
          <fgColor theme="4"/>
          <bgColor theme="4"/>
        </patternFill>
      </fill>
      <border>
        <left/>
        <right/>
        <top/>
        <bottom style="thin">
          <color theme="4"/>
        </bottom>
        <vertical/>
      </border>
    </dxf>
    <dxf>
      <font>
        <color theme="3"/>
      </font>
      <border diagonalUp="0" diagonalDown="0">
        <left/>
        <right/>
        <top/>
        <bottom/>
        <vertical/>
        <horizontal/>
      </border>
    </dxf>
  </dxfs>
  <tableStyles count="4" defaultTableStyle="TableStyleMedium2" defaultPivotStyle="PivotStyleLight16">
    <tableStyle name="Budget Tables" pivot="0" count="4">
      <tableStyleElement type="wholeTable" dxfId="792"/>
      <tableStyleElement type="headerRow" dxfId="791"/>
      <tableStyleElement type="firstColumn" dxfId="790"/>
      <tableStyleElement type="firstRowStripe" dxfId="789"/>
    </tableStyle>
    <tableStyle name="Check Register Summary" pivot="0" count="2">
      <tableStyleElement type="wholeTable" dxfId="788"/>
      <tableStyleElement type="secondRowStripe" dxfId="787"/>
    </tableStyle>
    <tableStyle name="CheckRegister" pivot="0" count="2">
      <tableStyleElement type="headerRow" dxfId="786"/>
      <tableStyleElement type="secondRowStripe" dxfId="785"/>
    </tableStyle>
    <tableStyle name="Personal budget table" pivot="0" count="3">
      <tableStyleElement type="wholeTable" dxfId="784"/>
      <tableStyleElement type="headerRow" dxfId="783"/>
      <tableStyleElement type="totalRow" dxfId="782"/>
    </tableStyle>
  </tableStyles>
  <colors>
    <mruColors>
      <color rgb="FFF8FA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Dashboard!$F$3</c:f>
          <c:strCache>
            <c:ptCount val="1"/>
            <c:pt idx="0">
              <c:v>Cash flow through: Jan</c:v>
            </c:pt>
          </c:strCache>
        </c:strRef>
      </c:tx>
      <c:layout>
        <c:manualLayout>
          <c:xMode val="edge"/>
          <c:yMode val="edge"/>
          <c:x val="0.21051966406924336"/>
          <c:y val="2.955082742316785E-2"/>
        </c:manualLayout>
      </c:layout>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26303346350351142"/>
          <c:y val="0.15099367660343271"/>
          <c:w val="0.67648066085784742"/>
          <c:h val="0.48765372824331915"/>
        </c:manualLayout>
      </c:layout>
      <c:barChart>
        <c:barDir val="col"/>
        <c:grouping val="stacked"/>
        <c:varyColors val="0"/>
        <c:ser>
          <c:idx val="3"/>
          <c:order val="0"/>
          <c:tx>
            <c:strRef>
              <c:f>Budget!$A$6</c:f>
              <c:strCache>
                <c:ptCount val="1"/>
                <c:pt idx="0">
                  <c:v>Total Expense</c:v>
                </c:pt>
              </c:strCache>
            </c:strRef>
          </c:tx>
          <c:spPr>
            <a:solidFill>
              <a:schemeClr val="accent6"/>
            </a:solidFill>
            <a:ln>
              <a:noFill/>
            </a:ln>
            <a:effectLst>
              <a:outerShdw blurRad="57150" dist="19050" dir="5400000" algn="ctr" rotWithShape="0">
                <a:srgbClr val="000000">
                  <a:alpha val="63000"/>
                </a:srgbClr>
              </a:outerShdw>
            </a:effectLst>
          </c:spPr>
          <c:invertIfNegative val="0"/>
          <c:cat>
            <c:strRef>
              <c:f>Budget!$B$2:$N$3</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Year</c:v>
                </c:pt>
              </c:strCache>
            </c:strRef>
          </c:cat>
          <c:val>
            <c:numRef>
              <c:f>[0]!seriesTotalExpenses</c:f>
              <c:numCache>
                <c:formatCode>_("$"* #,##0_);[Red]_("$"* \(#,##0\);_("$"* "-"??_);_(@_)</c:formatCode>
                <c:ptCount val="1"/>
                <c:pt idx="0">
                  <c:v>996</c:v>
                </c:pt>
              </c:numCache>
            </c:numRef>
          </c:val>
          <c:extLst>
            <c:ext xmlns:c16="http://schemas.microsoft.com/office/drawing/2014/chart" uri="{C3380CC4-5D6E-409C-BE32-E72D297353CC}">
              <c16:uniqueId val="{00000000-5BEA-44A7-AD27-D6303B366C1D}"/>
            </c:ext>
          </c:extLst>
        </c:ser>
        <c:ser>
          <c:idx val="2"/>
          <c:order val="1"/>
          <c:tx>
            <c:strRef>
              <c:f>Budget!$A$5</c:f>
              <c:strCache>
                <c:ptCount val="1"/>
                <c:pt idx="0">
                  <c:v>Total Income</c:v>
                </c:pt>
              </c:strCache>
            </c:strRef>
          </c:tx>
          <c:spPr>
            <a:solidFill>
              <a:schemeClr val="accent2"/>
            </a:solidFill>
            <a:ln>
              <a:noFill/>
            </a:ln>
            <a:effectLst>
              <a:outerShdw blurRad="57150" dist="19050" dir="5400000" algn="ctr" rotWithShape="0">
                <a:srgbClr val="000000">
                  <a:alpha val="63000"/>
                </a:srgbClr>
              </a:outerShdw>
            </a:effectLst>
          </c:spPr>
          <c:invertIfNegative val="0"/>
          <c:cat>
            <c:strRef>
              <c:f>Budget!$B$2:$N$3</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Year</c:v>
                </c:pt>
              </c:strCache>
            </c:strRef>
          </c:cat>
          <c:val>
            <c:numRef>
              <c:f>[0]!seriesTotalIncome</c:f>
              <c:numCache>
                <c:formatCode>_("$"* #,##0_);[Red]_("$"* \(#,##0\);_("$"* "-"??_);_(@_)</c:formatCode>
                <c:ptCount val="1"/>
                <c:pt idx="0">
                  <c:v>2000</c:v>
                </c:pt>
              </c:numCache>
            </c:numRef>
          </c:val>
          <c:extLst>
            <c:ext xmlns:c16="http://schemas.microsoft.com/office/drawing/2014/chart" uri="{C3380CC4-5D6E-409C-BE32-E72D297353CC}">
              <c16:uniqueId val="{00000001-5BEA-44A7-AD27-D6303B366C1D}"/>
            </c:ext>
          </c:extLst>
        </c:ser>
        <c:dLbls>
          <c:showLegendKey val="0"/>
          <c:showVal val="0"/>
          <c:showCatName val="0"/>
          <c:showSerName val="0"/>
          <c:showPercent val="0"/>
          <c:showBubbleSize val="0"/>
        </c:dLbls>
        <c:gapWidth val="150"/>
        <c:overlap val="100"/>
        <c:axId val="308406888"/>
        <c:axId val="308405712"/>
      </c:barChart>
      <c:lineChart>
        <c:grouping val="standard"/>
        <c:varyColors val="0"/>
        <c:ser>
          <c:idx val="0"/>
          <c:order val="2"/>
          <c:tx>
            <c:strRef>
              <c:f>Budget!$A$7</c:f>
              <c:strCache>
                <c:ptCount val="1"/>
                <c:pt idx="0">
                  <c:v>Net Income</c:v>
                </c:pt>
              </c:strCache>
            </c:strRef>
          </c:tx>
          <c:spPr>
            <a:ln w="25400" cap="rnd">
              <a:solidFill>
                <a:srgbClr val="0070C0"/>
              </a:solidFill>
              <a:prstDash val="solid"/>
              <a:round/>
              <a:headEnd type="none"/>
            </a:ln>
            <a:effectLst>
              <a:outerShdw blurRad="57150" dist="19050" dir="5400000" algn="ctr" rotWithShape="0">
                <a:srgbClr val="000000">
                  <a:alpha val="63000"/>
                </a:srgbClr>
              </a:outerShdw>
            </a:effectLst>
          </c:spPr>
          <c:marker>
            <c:symbol val="circle"/>
            <c:size val="6"/>
            <c:spPr>
              <a:solidFill>
                <a:srgbClr val="0070C0"/>
              </a:solidFill>
              <a:ln w="9525">
                <a:noFill/>
                <a:round/>
              </a:ln>
              <a:effectLst>
                <a:outerShdw blurRad="57150" dist="19050" dir="5400000" algn="ctr" rotWithShape="0">
                  <a:srgbClr val="000000">
                    <a:alpha val="63000"/>
                  </a:srgbClr>
                </a:outerShdw>
              </a:effectLst>
            </c:spPr>
          </c:marker>
          <c:dPt>
            <c:idx val="3"/>
            <c:marker>
              <c:symbol val="circle"/>
              <c:size val="6"/>
              <c:spPr>
                <a:solidFill>
                  <a:srgbClr val="0070C0"/>
                </a:solidFill>
                <a:ln w="9525">
                  <a:noFill/>
                  <a:round/>
                </a:ln>
                <a:effectLst>
                  <a:outerShdw blurRad="57150" dist="19050" dir="5400000" algn="ctr" rotWithShape="0">
                    <a:srgbClr val="000000">
                      <a:alpha val="63000"/>
                    </a:srgbClr>
                  </a:outerShdw>
                </a:effectLst>
              </c:spPr>
            </c:marker>
            <c:bubble3D val="0"/>
            <c:spPr>
              <a:ln w="25400" cap="rnd">
                <a:solidFill>
                  <a:srgbClr val="0070C0"/>
                </a:solidFill>
                <a:prstDash val="solid"/>
                <a:round/>
                <a:headEnd type="none"/>
                <a:tailEnd type="ova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BEA-44A7-AD27-D6303B366C1D}"/>
              </c:ext>
            </c:extLst>
          </c:dPt>
          <c:cat>
            <c:strRef>
              <c:f>Budget!$B$2:$N$3</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Year</c:v>
                </c:pt>
              </c:strCache>
            </c:strRef>
          </c:cat>
          <c:val>
            <c:numRef>
              <c:f>[0]!seriesNetIncome</c:f>
              <c:numCache>
                <c:formatCode>_("$"* #,##0_);[Red]_("$"* \(#,##0\);_("$"* "-"??_);_(@_)</c:formatCode>
                <c:ptCount val="1"/>
                <c:pt idx="0">
                  <c:v>1004</c:v>
                </c:pt>
              </c:numCache>
            </c:numRef>
          </c:val>
          <c:smooth val="0"/>
          <c:extLst>
            <c:ext xmlns:c16="http://schemas.microsoft.com/office/drawing/2014/chart" uri="{C3380CC4-5D6E-409C-BE32-E72D297353CC}">
              <c16:uniqueId val="{00000004-5BEA-44A7-AD27-D6303B366C1D}"/>
            </c:ext>
          </c:extLst>
        </c:ser>
        <c:ser>
          <c:idx val="1"/>
          <c:order val="3"/>
          <c:tx>
            <c:strRef>
              <c:f>Budget!$A$8</c:f>
              <c:strCache>
                <c:ptCount val="1"/>
                <c:pt idx="0">
                  <c:v>TOTAL CASH FLOW</c:v>
                </c:pt>
              </c:strCache>
            </c:strRef>
          </c:tx>
          <c:spPr>
            <a:ln w="25400" cap="rnd">
              <a:solidFill>
                <a:schemeClr val="accent5">
                  <a:lumMod val="60000"/>
                  <a:lumOff val="40000"/>
                </a:schemeClr>
              </a:solidFill>
              <a:round/>
            </a:ln>
            <a:effectLst>
              <a:outerShdw blurRad="57150" dist="19050" dir="5400000" algn="ctr" rotWithShape="0">
                <a:srgbClr val="000000">
                  <a:alpha val="63000"/>
                </a:srgbClr>
              </a:outerShdw>
            </a:effectLst>
          </c:spPr>
          <c:marker>
            <c:symbol val="circle"/>
            <c:size val="6"/>
            <c:spPr>
              <a:solidFill>
                <a:schemeClr val="accent5">
                  <a:lumMod val="60000"/>
                  <a:lumOff val="40000"/>
                </a:schemeClr>
              </a:solidFill>
              <a:ln w="9525">
                <a:solidFill>
                  <a:schemeClr val="accent5">
                    <a:lumMod val="60000"/>
                    <a:lumOff val="40000"/>
                  </a:schemeClr>
                </a:solidFill>
                <a:round/>
              </a:ln>
              <a:effectLst>
                <a:outerShdw blurRad="57150" dist="19050" dir="5400000" algn="ctr" rotWithShape="0">
                  <a:srgbClr val="000000">
                    <a:alpha val="63000"/>
                  </a:srgbClr>
                </a:outerShdw>
              </a:effectLst>
            </c:spPr>
          </c:marker>
          <c:val>
            <c:numRef>
              <c:f>[0]!seriesTotalCashFlow</c:f>
              <c:numCache>
                <c:formatCode>_("$"* #,##0_);[Red]_("$"* \(#,##0\);_("$"* "-"??_);_(@_)</c:formatCode>
                <c:ptCount val="1"/>
                <c:pt idx="0">
                  <c:v>2504</c:v>
                </c:pt>
              </c:numCache>
            </c:numRef>
          </c:val>
          <c:smooth val="0"/>
          <c:extLst>
            <c:ext xmlns:c16="http://schemas.microsoft.com/office/drawing/2014/chart" uri="{C3380CC4-5D6E-409C-BE32-E72D297353CC}">
              <c16:uniqueId val="{00000005-5BEA-44A7-AD27-D6303B366C1D}"/>
            </c:ext>
          </c:extLst>
        </c:ser>
        <c:dLbls>
          <c:showLegendKey val="0"/>
          <c:showVal val="0"/>
          <c:showCatName val="0"/>
          <c:showSerName val="0"/>
          <c:showPercent val="0"/>
          <c:showBubbleSize val="0"/>
        </c:dLbls>
        <c:marker val="1"/>
        <c:smooth val="0"/>
        <c:axId val="308406888"/>
        <c:axId val="308405712"/>
      </c:lineChart>
      <c:catAx>
        <c:axId val="308406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8405712"/>
        <c:crosses val="autoZero"/>
        <c:auto val="1"/>
        <c:lblAlgn val="ctr"/>
        <c:lblOffset val="100"/>
        <c:noMultiLvlLbl val="0"/>
      </c:catAx>
      <c:valAx>
        <c:axId val="308405712"/>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Red]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8406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orientation="landscape" blackAndWhite="1"/>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Dashboard!$I$3</c:f>
          <c:strCache>
            <c:ptCount val="1"/>
            <c:pt idx="0">
              <c:v>% of Income: Jan</c:v>
            </c:pt>
          </c:strCache>
        </c:strRef>
      </c:tx>
      <c:layout>
        <c:manualLayout>
          <c:xMode val="edge"/>
          <c:yMode val="edge"/>
          <c:x val="0.63506812945959612"/>
          <c:y val="1.0706638115631691E-2"/>
        </c:manualLayout>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45"/>
      <c:rotY val="0"/>
      <c:depthPercent val="100"/>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3318257363158335E-2"/>
          <c:y val="0.19721402597694559"/>
          <c:w val="0.69773693945696236"/>
          <c:h val="0.74664974961641584"/>
        </c:manualLayout>
      </c:layout>
      <c:pie3DChart>
        <c:varyColors val="1"/>
        <c:ser>
          <c:idx val="0"/>
          <c:order val="0"/>
          <c:tx>
            <c:strRef>
              <c:f>Dashboard!$P$4</c:f>
              <c:strCache>
                <c:ptCount val="1"/>
                <c:pt idx="0">
                  <c:v>% of Income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FE92-4485-A363-5E682ED7681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FE92-4485-A363-5E682ED7681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FE92-4485-A363-5E682ED7681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FE92-4485-A363-5E682ED7681D}"/>
              </c:ext>
            </c:extLst>
          </c:dPt>
          <c:dPt>
            <c:idx val="4"/>
            <c:bubble3D val="0"/>
            <c:spPr>
              <a:solidFill>
                <a:schemeClr val="accent5">
                  <a:lumMod val="75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FE92-4485-A363-5E682ED7681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FE92-4485-A363-5E682ED7681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FE92-4485-A363-5E682ED7681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FE92-4485-A363-5E682ED7681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FE92-4485-A363-5E682ED7681D}"/>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FE92-4485-A363-5E682ED7681D}"/>
              </c:ext>
            </c:extLst>
          </c:dPt>
          <c:dPt>
            <c:idx val="10"/>
            <c:bubble3D val="0"/>
            <c:spPr>
              <a:solidFill>
                <a:schemeClr val="accent1">
                  <a:lumMod val="40000"/>
                  <a:lumOff val="6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FE92-4485-A363-5E682ED7681D}"/>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FE92-4485-A363-5E682ED7681D}"/>
              </c:ext>
            </c:extLst>
          </c:dPt>
          <c:dLbls>
            <c:spPr>
              <a:noFill/>
              <a:ln>
                <a:noFill/>
              </a:ln>
              <a:effectLst/>
            </c:spPr>
            <c:txPr>
              <a:bodyPr rot="0" spcFirstLastPara="1" vertOverflow="clip" horzOverflow="clip" vert="horz" wrap="none" lIns="0" tIns="0" rIns="0" bIns="0" numCol="1" anchor="ctr" anchorCtr="0">
                <a:spAutoFit/>
              </a:bodyPr>
              <a:lstStyle/>
              <a:p>
                <a:pPr>
                  <a:defRPr sz="800" b="0" i="0" u="none" strike="noStrike" kern="1200" baseline="0">
                    <a:solidFill>
                      <a:schemeClr val="lt1">
                        <a:lumMod val="85000"/>
                      </a:schemeClr>
                    </a:solidFill>
                    <a:latin typeface="+mn-lt"/>
                    <a:ea typeface="+mn-ea"/>
                    <a:cs typeface="+mn-cs"/>
                  </a:defRPr>
                </a:pPr>
                <a:endParaRPr lang="en-US"/>
              </a:p>
            </c:txPr>
            <c:dLblPos val="bestFit"/>
            <c:showLegendKey val="1"/>
            <c:showVal val="1"/>
            <c:showCatName val="1"/>
            <c:showSerName val="0"/>
            <c:showPercent val="0"/>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Dashboard!$N$5:$N$16</c:f>
              <c:strCache>
                <c:ptCount val="12"/>
                <c:pt idx="0">
                  <c:v>Groc/Household</c:v>
                </c:pt>
                <c:pt idx="1">
                  <c:v>Housing</c:v>
                </c:pt>
                <c:pt idx="2">
                  <c:v>Entertainment</c:v>
                </c:pt>
                <c:pt idx="3">
                  <c:v>Transportation</c:v>
                </c:pt>
                <c:pt idx="4">
                  <c:v>Utilities</c:v>
                </c:pt>
                <c:pt idx="5">
                  <c:v>Debt</c:v>
                </c:pt>
                <c:pt idx="6">
                  <c:v>Charity/Tithe</c:v>
                </c:pt>
                <c:pt idx="7">
                  <c:v>Computer/Electronics</c:v>
                </c:pt>
                <c:pt idx="8">
                  <c:v>Savings</c:v>
                </c:pt>
                <c:pt idx="9">
                  <c:v>Health</c:v>
                </c:pt>
                <c:pt idx="10">
                  <c:v>Dining/Eating Out</c:v>
                </c:pt>
                <c:pt idx="11">
                  <c:v>Other</c:v>
                </c:pt>
              </c:strCache>
            </c:strRef>
          </c:cat>
          <c:val>
            <c:numRef>
              <c:f>Dashboard!$P$5:$P$16</c:f>
              <c:numCache>
                <c:formatCode>0%</c:formatCode>
                <c:ptCount val="12"/>
                <c:pt idx="0">
                  <c:v>7.4999999999999997E-2</c:v>
                </c:pt>
                <c:pt idx="1">
                  <c:v>0.25</c:v>
                </c:pt>
                <c:pt idx="2">
                  <c:v>0</c:v>
                </c:pt>
                <c:pt idx="3">
                  <c:v>0</c:v>
                </c:pt>
                <c:pt idx="4">
                  <c:v>2.5000000000000001E-2</c:v>
                </c:pt>
                <c:pt idx="5">
                  <c:v>0.14799999999999999</c:v>
                </c:pt>
                <c:pt idx="6">
                  <c:v>0</c:v>
                </c:pt>
                <c:pt idx="7">
                  <c:v>0</c:v>
                </c:pt>
                <c:pt idx="8">
                  <c:v>0</c:v>
                </c:pt>
                <c:pt idx="9">
                  <c:v>0</c:v>
                </c:pt>
                <c:pt idx="10">
                  <c:v>0</c:v>
                </c:pt>
                <c:pt idx="11">
                  <c:v>0</c:v>
                </c:pt>
              </c:numCache>
            </c:numRef>
          </c:val>
          <c:extLst>
            <c:ext xmlns:c16="http://schemas.microsoft.com/office/drawing/2014/chart" uri="{C3380CC4-5D6E-409C-BE32-E72D297353CC}">
              <c16:uniqueId val="{00000018-FE92-4485-A363-5E682ED7681D}"/>
            </c:ext>
          </c:extLst>
        </c:ser>
        <c:dLbls>
          <c:dLblPos val="outEnd"/>
          <c:showLegendKey val="0"/>
          <c:showVal val="0"/>
          <c:showCatName val="0"/>
          <c:showSerName val="0"/>
          <c:showPercent val="1"/>
          <c:showBubbleSize val="0"/>
          <c:showLeaderLines val="1"/>
        </c:dLbls>
      </c:pie3D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orientation="landscape" blackAndWhite="1"/>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1</xdr:col>
      <xdr:colOff>1325881</xdr:colOff>
      <xdr:row>2</xdr:row>
      <xdr:rowOff>0</xdr:rowOff>
    </xdr:from>
    <xdr:to>
      <xdr:col>7</xdr:col>
      <xdr:colOff>77476</xdr:colOff>
      <xdr:row>17</xdr:row>
      <xdr:rowOff>45720</xdr:rowOff>
    </xdr:to>
    <xdr:graphicFrame macro="">
      <xdr:nvGraphicFramePr>
        <xdr:cNvPr id="2" name="chtCashFlow">
          <a:extLst>
            <a:ext uri="{FF2B5EF4-FFF2-40B4-BE49-F238E27FC236}">
              <a16:creationId xmlns:a16="http://schemas.microsoft.com/office/drawing/2014/main" id="{00000000-0008-0000-0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114300</xdr:colOff>
      <xdr:row>2</xdr:row>
      <xdr:rowOff>0</xdr:rowOff>
    </xdr:from>
    <xdr:to>
      <xdr:col>12</xdr:col>
      <xdr:colOff>0</xdr:colOff>
      <xdr:row>17</xdr:row>
      <xdr:rowOff>38100</xdr:rowOff>
    </xdr:to>
    <xdr:graphicFrame macro="">
      <xdr:nvGraphicFramePr>
        <xdr:cNvPr id="3" name="chtSpendingSummary">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0</xdr:colOff>
      <xdr:row>1</xdr:row>
      <xdr:rowOff>0</xdr:rowOff>
    </xdr:from>
    <xdr:to>
      <xdr:col>18</xdr:col>
      <xdr:colOff>226695</xdr:colOff>
      <xdr:row>2</xdr:row>
      <xdr:rowOff>261</xdr:rowOff>
    </xdr:to>
    <xdr:sp macro="" textlink="">
      <xdr:nvSpPr>
        <xdr:cNvPr id="2" name="Header Border" descr="&quot;&quot;" title="Header border">
          <a:extLst>
            <a:ext uri="{FF2B5EF4-FFF2-40B4-BE49-F238E27FC236}">
              <a16:creationId xmlns:a16="http://schemas.microsoft.com/office/drawing/2014/main" id="{00000000-0008-0000-0400-000002000000}"/>
            </a:ext>
          </a:extLst>
        </xdr:cNvPr>
        <xdr:cNvSpPr/>
      </xdr:nvSpPr>
      <xdr:spPr>
        <a:xfrm>
          <a:off x="9845040" y="0"/>
          <a:ext cx="1918335" cy="434601"/>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xdr:from>
      <xdr:col>0</xdr:col>
      <xdr:colOff>85725</xdr:colOff>
      <xdr:row>0</xdr:row>
      <xdr:rowOff>133351</xdr:rowOff>
    </xdr:from>
    <xdr:to>
      <xdr:col>0</xdr:col>
      <xdr:colOff>1338267</xdr:colOff>
      <xdr:row>1</xdr:row>
      <xdr:rowOff>270511</xdr:rowOff>
    </xdr:to>
    <xdr:grpSp>
      <xdr:nvGrpSpPr>
        <xdr:cNvPr id="3" name="Group 2" descr="&quot;&quot;" title="Starting Balance">
          <a:extLst>
            <a:ext uri="{FF2B5EF4-FFF2-40B4-BE49-F238E27FC236}">
              <a16:creationId xmlns:a16="http://schemas.microsoft.com/office/drawing/2014/main" id="{00000000-0008-0000-0400-000003000000}"/>
            </a:ext>
          </a:extLst>
        </xdr:cNvPr>
        <xdr:cNvGrpSpPr/>
      </xdr:nvGrpSpPr>
      <xdr:grpSpPr>
        <a:xfrm>
          <a:off x="85725" y="133351"/>
          <a:ext cx="1252542" cy="441960"/>
          <a:chOff x="304800" y="0"/>
          <a:chExt cx="1252542" cy="757237"/>
        </a:xfrm>
        <a:solidFill>
          <a:schemeClr val="accent6">
            <a:lumMod val="60000"/>
            <a:lumOff val="40000"/>
          </a:schemeClr>
        </a:solidFill>
      </xdr:grpSpPr>
      <xdr:sp macro="" textlink="">
        <xdr:nvSpPr>
          <xdr:cNvPr id="4" name="Pentagon 3" descr="&quot;&quot;" title="Starting Balance">
            <a:extLst>
              <a:ext uri="{FF2B5EF4-FFF2-40B4-BE49-F238E27FC236}">
                <a16:creationId xmlns:a16="http://schemas.microsoft.com/office/drawing/2014/main" id="{00000000-0008-0000-0400-000004000000}"/>
              </a:ext>
            </a:extLst>
          </xdr:cNvPr>
          <xdr:cNvSpPr/>
        </xdr:nvSpPr>
        <xdr:spPr>
          <a:xfrm rot="5400000">
            <a:off x="552452" y="-247652"/>
            <a:ext cx="757237" cy="1252542"/>
          </a:xfrm>
          <a:prstGeom prst="homePlate">
            <a:avLst>
              <a:gd name="adj" fmla="val 21582"/>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 name="Group 4">
            <a:extLst>
              <a:ext uri="{FF2B5EF4-FFF2-40B4-BE49-F238E27FC236}">
                <a16:creationId xmlns:a16="http://schemas.microsoft.com/office/drawing/2014/main" id="{00000000-0008-0000-0400-000005000000}"/>
              </a:ext>
            </a:extLst>
          </xdr:cNvPr>
          <xdr:cNvGrpSpPr/>
        </xdr:nvGrpSpPr>
        <xdr:grpSpPr>
          <a:xfrm>
            <a:off x="380561" y="33337"/>
            <a:ext cx="1097282" cy="576263"/>
            <a:chOff x="816249" y="19050"/>
            <a:chExt cx="1130659" cy="576263"/>
          </a:xfrm>
          <a:grpFill/>
        </xdr:grpSpPr>
        <xdr:sp macro="" textlink="">
          <xdr:nvSpPr>
            <xdr:cNvPr id="6" name="TextBox25">
              <a:extLst>
                <a:ext uri="{FF2B5EF4-FFF2-40B4-BE49-F238E27FC236}">
                  <a16:creationId xmlns:a16="http://schemas.microsoft.com/office/drawing/2014/main" id="{00000000-0008-0000-0400-000006000000}"/>
                </a:ext>
              </a:extLst>
            </xdr:cNvPr>
            <xdr:cNvSpPr txBox="1"/>
          </xdr:nvSpPr>
          <xdr:spPr>
            <a:xfrm>
              <a:off x="816250" y="19050"/>
              <a:ext cx="1130658"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900" b="1" spc="50" baseline="0">
                  <a:solidFill>
                    <a:schemeClr val="bg1"/>
                  </a:solidFill>
                  <a:latin typeface="+mj-lt"/>
                </a:rPr>
                <a:t>starting balance</a:t>
              </a:r>
            </a:p>
          </xdr:txBody>
        </xdr:sp>
        <xdr:sp macro="" textlink="StartingBalance">
          <xdr:nvSpPr>
            <xdr:cNvPr id="7" name="TextBox 6">
              <a:extLst>
                <a:ext uri="{FF2B5EF4-FFF2-40B4-BE49-F238E27FC236}">
                  <a16:creationId xmlns:a16="http://schemas.microsoft.com/office/drawing/2014/main" id="{00000000-0008-0000-0400-000007000000}"/>
                </a:ext>
              </a:extLst>
            </xdr:cNvPr>
            <xdr:cNvSpPr txBox="1"/>
          </xdr:nvSpPr>
          <xdr:spPr>
            <a:xfrm>
              <a:off x="816249" y="242888"/>
              <a:ext cx="1130657" cy="3524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pPr algn="ctr"/>
              <a:fld id="{2B216359-7D6C-4C16-9AE0-5BD22C726D6B}" type="TxLink">
                <a:rPr lang="en-US" sz="1800" b="1" i="0" u="none" strike="noStrike" spc="50" baseline="0">
                  <a:solidFill>
                    <a:schemeClr val="bg1"/>
                  </a:solidFill>
                  <a:latin typeface="+mj-lt"/>
                </a:rPr>
                <a:pPr algn="ctr"/>
                <a:t> $1,500.00 </a:t>
              </a:fld>
              <a:endParaRPr lang="en-US" sz="1800" b="1" spc="50" baseline="0">
                <a:solidFill>
                  <a:schemeClr val="bg1"/>
                </a:solidFill>
                <a:latin typeface="+mj-lt"/>
              </a:endParaRPr>
            </a:p>
          </xdr:txBody>
        </xdr:sp>
      </xdr:grpSp>
    </xdr:grpSp>
    <xdr:clientData/>
  </xdr:twoCellAnchor>
  <xdr:twoCellAnchor>
    <xdr:from>
      <xdr:col>15</xdr:col>
      <xdr:colOff>443744</xdr:colOff>
      <xdr:row>1</xdr:row>
      <xdr:rowOff>95251</xdr:rowOff>
    </xdr:from>
    <xdr:to>
      <xdr:col>18</xdr:col>
      <xdr:colOff>77984</xdr:colOff>
      <xdr:row>1</xdr:row>
      <xdr:rowOff>333375</xdr:rowOff>
    </xdr:to>
    <xdr:sp macro="" textlink="">
      <xdr:nvSpPr>
        <xdr:cNvPr id="8" name="Back to Overview" descr="Click to return to the Dashboard sheet" title="Back to Overview">
          <a:hlinkClick xmlns:r="http://schemas.openxmlformats.org/officeDocument/2006/relationships" r:id="rId1" tooltip="Click to return to the Dashboard"/>
          <a:extLst>
            <a:ext uri="{FF2B5EF4-FFF2-40B4-BE49-F238E27FC236}">
              <a16:creationId xmlns:a16="http://schemas.microsoft.com/office/drawing/2014/main" id="{00000000-0008-0000-0400-000008000000}"/>
            </a:ext>
          </a:extLst>
        </xdr:cNvPr>
        <xdr:cNvSpPr txBox="1"/>
      </xdr:nvSpPr>
      <xdr:spPr>
        <a:xfrm>
          <a:off x="10334504" y="95251"/>
          <a:ext cx="1280160" cy="238124"/>
        </a:xfrm>
        <a:prstGeom prst="rect">
          <a:avLst/>
        </a:prstGeom>
        <a:solidFill>
          <a:schemeClr val="accent6">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lstStyle/>
        <a:p>
          <a:pPr algn="ctr"/>
          <a:r>
            <a:rPr lang="en-US" sz="800" b="1" spc="40" baseline="0">
              <a:solidFill>
                <a:schemeClr val="bg1"/>
              </a:solidFill>
              <a:latin typeface="+mj-lt"/>
            </a:rPr>
            <a:t>back to overview</a:t>
          </a:r>
        </a:p>
      </xdr:txBody>
    </xdr:sp>
    <xdr:clientData fPrintsWithSheet="0"/>
  </xdr:twoCellAnchor>
  <xdr:twoCellAnchor editAs="oneCell">
    <xdr:from>
      <xdr:col>15</xdr:col>
      <xdr:colOff>180975</xdr:colOff>
      <xdr:row>1</xdr:row>
      <xdr:rowOff>28575</xdr:rowOff>
    </xdr:from>
    <xdr:to>
      <xdr:col>15</xdr:col>
      <xdr:colOff>546735</xdr:colOff>
      <xdr:row>2</xdr:row>
      <xdr:rowOff>81915</xdr:rowOff>
    </xdr:to>
    <xdr:grpSp>
      <xdr:nvGrpSpPr>
        <xdr:cNvPr id="9" name="shpGauge" descr="&quot;&quot;" title="Dashboard icon">
          <a:extLst>
            <a:ext uri="{FF2B5EF4-FFF2-40B4-BE49-F238E27FC236}">
              <a16:creationId xmlns:a16="http://schemas.microsoft.com/office/drawing/2014/main" id="{00000000-0008-0000-0400-000009000000}"/>
            </a:ext>
          </a:extLst>
        </xdr:cNvPr>
        <xdr:cNvGrpSpPr>
          <a:grpSpLocks noChangeAspect="1"/>
        </xdr:cNvGrpSpPr>
      </xdr:nvGrpSpPr>
      <xdr:grpSpPr bwMode="auto">
        <a:xfrm>
          <a:off x="11563350" y="333375"/>
          <a:ext cx="365760" cy="358140"/>
          <a:chOff x="695" y="842"/>
          <a:chExt cx="45" cy="45"/>
        </a:xfrm>
      </xdr:grpSpPr>
      <xdr:sp macro="" textlink="">
        <xdr:nvSpPr>
          <xdr:cNvPr id="10" name="Rectangle 60">
            <a:extLst>
              <a:ext uri="{FF2B5EF4-FFF2-40B4-BE49-F238E27FC236}">
                <a16:creationId xmlns:a16="http://schemas.microsoft.com/office/drawing/2014/main" id="{00000000-0008-0000-0400-00000A000000}"/>
              </a:ext>
            </a:extLst>
          </xdr:cNvPr>
          <xdr:cNvSpPr>
            <a:spLocks noChangeArrowheads="1"/>
          </xdr:cNvSpPr>
        </xdr:nvSpPr>
        <xdr:spPr bwMode="auto">
          <a:xfrm>
            <a:off x="695" y="842"/>
            <a:ext cx="45" cy="45"/>
          </a:xfrm>
          <a:prstGeom prst="rect">
            <a:avLst/>
          </a:prstGeom>
          <a:noFill/>
          <a:ln w="0">
            <a:no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1" name="Freeform 61">
            <a:extLst>
              <a:ext uri="{FF2B5EF4-FFF2-40B4-BE49-F238E27FC236}">
                <a16:creationId xmlns:a16="http://schemas.microsoft.com/office/drawing/2014/main" id="{00000000-0008-0000-0400-00000B000000}"/>
              </a:ext>
            </a:extLst>
          </xdr:cNvPr>
          <xdr:cNvSpPr>
            <a:spLocks/>
          </xdr:cNvSpPr>
        </xdr:nvSpPr>
        <xdr:spPr bwMode="auto">
          <a:xfrm>
            <a:off x="695" y="842"/>
            <a:ext cx="44" cy="44"/>
          </a:xfrm>
          <a:custGeom>
            <a:avLst/>
            <a:gdLst>
              <a:gd name="T0" fmla="*/ 1672 w 3238"/>
              <a:gd name="T1" fmla="*/ 18 h 3203"/>
              <a:gd name="T2" fmla="*/ 2098 w 3238"/>
              <a:gd name="T3" fmla="*/ 88 h 3203"/>
              <a:gd name="T4" fmla="*/ 2165 w 3238"/>
              <a:gd name="T5" fmla="*/ 95 h 3203"/>
              <a:gd name="T6" fmla="*/ 2274 w 3238"/>
              <a:gd name="T7" fmla="*/ 416 h 3203"/>
              <a:gd name="T8" fmla="*/ 2603 w 3238"/>
              <a:gd name="T9" fmla="*/ 332 h 3203"/>
              <a:gd name="T10" fmla="*/ 2646 w 3238"/>
              <a:gd name="T11" fmla="*/ 386 h 3203"/>
              <a:gd name="T12" fmla="*/ 2936 w 3238"/>
              <a:gd name="T13" fmla="*/ 704 h 3203"/>
              <a:gd name="T14" fmla="*/ 2986 w 3238"/>
              <a:gd name="T15" fmla="*/ 751 h 3203"/>
              <a:gd name="T16" fmla="*/ 2874 w 3238"/>
              <a:gd name="T17" fmla="*/ 1064 h 3203"/>
              <a:gd name="T18" fmla="*/ 3186 w 3238"/>
              <a:gd name="T19" fmla="*/ 1201 h 3203"/>
              <a:gd name="T20" fmla="*/ 3186 w 3238"/>
              <a:gd name="T21" fmla="*/ 1269 h 3203"/>
              <a:gd name="T22" fmla="*/ 3225 w 3238"/>
              <a:gd name="T23" fmla="*/ 1696 h 3203"/>
              <a:gd name="T24" fmla="*/ 3234 w 3238"/>
              <a:gd name="T25" fmla="*/ 1765 h 3203"/>
              <a:gd name="T26" fmla="*/ 2944 w 3238"/>
              <a:gd name="T27" fmla="*/ 1940 h 3203"/>
              <a:gd name="T28" fmla="*/ 3114 w 3238"/>
              <a:gd name="T29" fmla="*/ 2241 h 3203"/>
              <a:gd name="T30" fmla="*/ 3073 w 3238"/>
              <a:gd name="T31" fmla="*/ 2295 h 3203"/>
              <a:gd name="T32" fmla="*/ 2835 w 3238"/>
              <a:gd name="T33" fmla="*/ 2661 h 3203"/>
              <a:gd name="T34" fmla="*/ 2802 w 3238"/>
              <a:gd name="T35" fmla="*/ 2722 h 3203"/>
              <a:gd name="T36" fmla="*/ 2466 w 3238"/>
              <a:gd name="T37" fmla="*/ 2690 h 3203"/>
              <a:gd name="T38" fmla="*/ 2408 w 3238"/>
              <a:gd name="T39" fmla="*/ 3020 h 3203"/>
              <a:gd name="T40" fmla="*/ 2343 w 3238"/>
              <a:gd name="T41" fmla="*/ 3037 h 3203"/>
              <a:gd name="T42" fmla="*/ 1933 w 3238"/>
              <a:gd name="T43" fmla="*/ 3176 h 3203"/>
              <a:gd name="T44" fmla="*/ 1883 w 3238"/>
              <a:gd name="T45" fmla="*/ 3203 h 3203"/>
              <a:gd name="T46" fmla="*/ 1834 w 3238"/>
              <a:gd name="T47" fmla="*/ 3190 h 3203"/>
              <a:gd name="T48" fmla="*/ 1402 w 3238"/>
              <a:gd name="T49" fmla="*/ 3192 h 3203"/>
              <a:gd name="T50" fmla="*/ 1333 w 3238"/>
              <a:gd name="T51" fmla="*/ 3197 h 3203"/>
              <a:gd name="T52" fmla="*/ 1174 w 3238"/>
              <a:gd name="T53" fmla="*/ 2900 h 3203"/>
              <a:gd name="T54" fmla="*/ 862 w 3238"/>
              <a:gd name="T55" fmla="*/ 3037 h 3203"/>
              <a:gd name="T56" fmla="*/ 812 w 3238"/>
              <a:gd name="T57" fmla="*/ 2991 h 3203"/>
              <a:gd name="T58" fmla="*/ 475 w 3238"/>
              <a:gd name="T59" fmla="*/ 2733 h 3203"/>
              <a:gd name="T60" fmla="*/ 418 w 3238"/>
              <a:gd name="T61" fmla="*/ 2694 h 3203"/>
              <a:gd name="T62" fmla="*/ 477 w 3238"/>
              <a:gd name="T63" fmla="*/ 2358 h 3203"/>
              <a:gd name="T64" fmla="*/ 140 w 3238"/>
              <a:gd name="T65" fmla="*/ 2274 h 3203"/>
              <a:gd name="T66" fmla="*/ 128 w 3238"/>
              <a:gd name="T67" fmla="*/ 2207 h 3203"/>
              <a:gd name="T68" fmla="*/ 24 w 3238"/>
              <a:gd name="T69" fmla="*/ 1794 h 3203"/>
              <a:gd name="T70" fmla="*/ 1 w 3238"/>
              <a:gd name="T71" fmla="*/ 1728 h 3203"/>
              <a:gd name="T72" fmla="*/ 257 w 3238"/>
              <a:gd name="T73" fmla="*/ 1494 h 3203"/>
              <a:gd name="T74" fmla="*/ 45 w 3238"/>
              <a:gd name="T75" fmla="*/ 1236 h 3203"/>
              <a:gd name="T76" fmla="*/ 77 w 3238"/>
              <a:gd name="T77" fmla="*/ 1175 h 3203"/>
              <a:gd name="T78" fmla="*/ 250 w 3238"/>
              <a:gd name="T79" fmla="*/ 785 h 3203"/>
              <a:gd name="T80" fmla="*/ 273 w 3238"/>
              <a:gd name="T81" fmla="*/ 721 h 3203"/>
              <a:gd name="T82" fmla="*/ 611 w 3238"/>
              <a:gd name="T83" fmla="*/ 695 h 3203"/>
              <a:gd name="T84" fmla="*/ 614 w 3238"/>
              <a:gd name="T85" fmla="*/ 354 h 3203"/>
              <a:gd name="T86" fmla="*/ 676 w 3238"/>
              <a:gd name="T87" fmla="*/ 326 h 3203"/>
              <a:gd name="T88" fmla="*/ 1050 w 3238"/>
              <a:gd name="T89" fmla="*/ 121 h 3203"/>
              <a:gd name="T90" fmla="*/ 1108 w 3238"/>
              <a:gd name="T91" fmla="*/ 83 h 3203"/>
              <a:gd name="T92" fmla="*/ 1394 w 3238"/>
              <a:gd name="T93" fmla="*/ 269 h 3203"/>
              <a:gd name="T94" fmla="*/ 1604 w 3238"/>
              <a:gd name="T95" fmla="*/ 3 h 32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Lst>
            <a:rect l="0" t="0" r="r" b="b"/>
            <a:pathLst>
              <a:path w="3238" h="3203">
                <a:moveTo>
                  <a:pt x="1623" y="0"/>
                </a:moveTo>
                <a:lnTo>
                  <a:pt x="1641" y="2"/>
                </a:lnTo>
                <a:lnTo>
                  <a:pt x="1657" y="8"/>
                </a:lnTo>
                <a:lnTo>
                  <a:pt x="1672" y="18"/>
                </a:lnTo>
                <a:lnTo>
                  <a:pt x="1684" y="32"/>
                </a:lnTo>
                <a:lnTo>
                  <a:pt x="1843" y="268"/>
                </a:lnTo>
                <a:lnTo>
                  <a:pt x="2081" y="96"/>
                </a:lnTo>
                <a:lnTo>
                  <a:pt x="2098" y="88"/>
                </a:lnTo>
                <a:lnTo>
                  <a:pt x="2115" y="84"/>
                </a:lnTo>
                <a:lnTo>
                  <a:pt x="2132" y="83"/>
                </a:lnTo>
                <a:lnTo>
                  <a:pt x="2150" y="87"/>
                </a:lnTo>
                <a:lnTo>
                  <a:pt x="2165" y="95"/>
                </a:lnTo>
                <a:lnTo>
                  <a:pt x="2179" y="106"/>
                </a:lnTo>
                <a:lnTo>
                  <a:pt x="2189" y="120"/>
                </a:lnTo>
                <a:lnTo>
                  <a:pt x="2196" y="136"/>
                </a:lnTo>
                <a:lnTo>
                  <a:pt x="2274" y="416"/>
                </a:lnTo>
                <a:lnTo>
                  <a:pt x="2551" y="329"/>
                </a:lnTo>
                <a:lnTo>
                  <a:pt x="2568" y="326"/>
                </a:lnTo>
                <a:lnTo>
                  <a:pt x="2586" y="327"/>
                </a:lnTo>
                <a:lnTo>
                  <a:pt x="2603" y="332"/>
                </a:lnTo>
                <a:lnTo>
                  <a:pt x="2618" y="342"/>
                </a:lnTo>
                <a:lnTo>
                  <a:pt x="2631" y="354"/>
                </a:lnTo>
                <a:lnTo>
                  <a:pt x="2641" y="369"/>
                </a:lnTo>
                <a:lnTo>
                  <a:pt x="2646" y="386"/>
                </a:lnTo>
                <a:lnTo>
                  <a:pt x="2647" y="404"/>
                </a:lnTo>
                <a:lnTo>
                  <a:pt x="2626" y="695"/>
                </a:lnTo>
                <a:lnTo>
                  <a:pt x="2918" y="701"/>
                </a:lnTo>
                <a:lnTo>
                  <a:pt x="2936" y="704"/>
                </a:lnTo>
                <a:lnTo>
                  <a:pt x="2952" y="711"/>
                </a:lnTo>
                <a:lnTo>
                  <a:pt x="2967" y="721"/>
                </a:lnTo>
                <a:lnTo>
                  <a:pt x="2979" y="735"/>
                </a:lnTo>
                <a:lnTo>
                  <a:pt x="2986" y="751"/>
                </a:lnTo>
                <a:lnTo>
                  <a:pt x="2990" y="768"/>
                </a:lnTo>
                <a:lnTo>
                  <a:pt x="2989" y="786"/>
                </a:lnTo>
                <a:lnTo>
                  <a:pt x="2984" y="804"/>
                </a:lnTo>
                <a:lnTo>
                  <a:pt x="2874" y="1064"/>
                </a:lnTo>
                <a:lnTo>
                  <a:pt x="3146" y="1166"/>
                </a:lnTo>
                <a:lnTo>
                  <a:pt x="3162" y="1175"/>
                </a:lnTo>
                <a:lnTo>
                  <a:pt x="3176" y="1187"/>
                </a:lnTo>
                <a:lnTo>
                  <a:pt x="3186" y="1201"/>
                </a:lnTo>
                <a:lnTo>
                  <a:pt x="3192" y="1218"/>
                </a:lnTo>
                <a:lnTo>
                  <a:pt x="3194" y="1235"/>
                </a:lnTo>
                <a:lnTo>
                  <a:pt x="3192" y="1253"/>
                </a:lnTo>
                <a:lnTo>
                  <a:pt x="3186" y="1269"/>
                </a:lnTo>
                <a:lnTo>
                  <a:pt x="3176" y="1284"/>
                </a:lnTo>
                <a:lnTo>
                  <a:pt x="2986" y="1494"/>
                </a:lnTo>
                <a:lnTo>
                  <a:pt x="3213" y="1683"/>
                </a:lnTo>
                <a:lnTo>
                  <a:pt x="3225" y="1696"/>
                </a:lnTo>
                <a:lnTo>
                  <a:pt x="3234" y="1712"/>
                </a:lnTo>
                <a:lnTo>
                  <a:pt x="3238" y="1729"/>
                </a:lnTo>
                <a:lnTo>
                  <a:pt x="3238" y="1746"/>
                </a:lnTo>
                <a:lnTo>
                  <a:pt x="3234" y="1765"/>
                </a:lnTo>
                <a:lnTo>
                  <a:pt x="3226" y="1781"/>
                </a:lnTo>
                <a:lnTo>
                  <a:pt x="3215" y="1794"/>
                </a:lnTo>
                <a:lnTo>
                  <a:pt x="3200" y="1805"/>
                </a:lnTo>
                <a:lnTo>
                  <a:pt x="2944" y="1940"/>
                </a:lnTo>
                <a:lnTo>
                  <a:pt x="3103" y="2190"/>
                </a:lnTo>
                <a:lnTo>
                  <a:pt x="3111" y="2206"/>
                </a:lnTo>
                <a:lnTo>
                  <a:pt x="3114" y="2224"/>
                </a:lnTo>
                <a:lnTo>
                  <a:pt x="3114" y="2241"/>
                </a:lnTo>
                <a:lnTo>
                  <a:pt x="3109" y="2258"/>
                </a:lnTo>
                <a:lnTo>
                  <a:pt x="3100" y="2274"/>
                </a:lnTo>
                <a:lnTo>
                  <a:pt x="3087" y="2286"/>
                </a:lnTo>
                <a:lnTo>
                  <a:pt x="3073" y="2295"/>
                </a:lnTo>
                <a:lnTo>
                  <a:pt x="3055" y="2301"/>
                </a:lnTo>
                <a:lnTo>
                  <a:pt x="2767" y="2358"/>
                </a:lnTo>
                <a:lnTo>
                  <a:pt x="2833" y="2643"/>
                </a:lnTo>
                <a:lnTo>
                  <a:pt x="2835" y="2661"/>
                </a:lnTo>
                <a:lnTo>
                  <a:pt x="2833" y="2678"/>
                </a:lnTo>
                <a:lnTo>
                  <a:pt x="2827" y="2694"/>
                </a:lnTo>
                <a:lnTo>
                  <a:pt x="2816" y="2709"/>
                </a:lnTo>
                <a:lnTo>
                  <a:pt x="2802" y="2722"/>
                </a:lnTo>
                <a:lnTo>
                  <a:pt x="2786" y="2729"/>
                </a:lnTo>
                <a:lnTo>
                  <a:pt x="2769" y="2733"/>
                </a:lnTo>
                <a:lnTo>
                  <a:pt x="2751" y="2733"/>
                </a:lnTo>
                <a:lnTo>
                  <a:pt x="2466" y="2690"/>
                </a:lnTo>
                <a:lnTo>
                  <a:pt x="2433" y="2975"/>
                </a:lnTo>
                <a:lnTo>
                  <a:pt x="2428" y="2992"/>
                </a:lnTo>
                <a:lnTo>
                  <a:pt x="2420" y="3007"/>
                </a:lnTo>
                <a:lnTo>
                  <a:pt x="2408" y="3020"/>
                </a:lnTo>
                <a:lnTo>
                  <a:pt x="2394" y="3031"/>
                </a:lnTo>
                <a:lnTo>
                  <a:pt x="2377" y="3037"/>
                </a:lnTo>
                <a:lnTo>
                  <a:pt x="2360" y="3039"/>
                </a:lnTo>
                <a:lnTo>
                  <a:pt x="2343" y="3037"/>
                </a:lnTo>
                <a:lnTo>
                  <a:pt x="2326" y="3032"/>
                </a:lnTo>
                <a:lnTo>
                  <a:pt x="2063" y="2900"/>
                </a:lnTo>
                <a:lnTo>
                  <a:pt x="1943" y="3160"/>
                </a:lnTo>
                <a:lnTo>
                  <a:pt x="1933" y="3176"/>
                </a:lnTo>
                <a:lnTo>
                  <a:pt x="1921" y="3188"/>
                </a:lnTo>
                <a:lnTo>
                  <a:pt x="1906" y="3197"/>
                </a:lnTo>
                <a:lnTo>
                  <a:pt x="1889" y="3202"/>
                </a:lnTo>
                <a:lnTo>
                  <a:pt x="1883" y="3203"/>
                </a:lnTo>
                <a:lnTo>
                  <a:pt x="1875" y="3203"/>
                </a:lnTo>
                <a:lnTo>
                  <a:pt x="1861" y="3201"/>
                </a:lnTo>
                <a:lnTo>
                  <a:pt x="1847" y="3197"/>
                </a:lnTo>
                <a:lnTo>
                  <a:pt x="1834" y="3190"/>
                </a:lnTo>
                <a:lnTo>
                  <a:pt x="1823" y="3180"/>
                </a:lnTo>
                <a:lnTo>
                  <a:pt x="1622" y="2970"/>
                </a:lnTo>
                <a:lnTo>
                  <a:pt x="1416" y="3181"/>
                </a:lnTo>
                <a:lnTo>
                  <a:pt x="1402" y="3192"/>
                </a:lnTo>
                <a:lnTo>
                  <a:pt x="1386" y="3200"/>
                </a:lnTo>
                <a:lnTo>
                  <a:pt x="1369" y="3203"/>
                </a:lnTo>
                <a:lnTo>
                  <a:pt x="1351" y="3202"/>
                </a:lnTo>
                <a:lnTo>
                  <a:pt x="1333" y="3197"/>
                </a:lnTo>
                <a:lnTo>
                  <a:pt x="1318" y="3188"/>
                </a:lnTo>
                <a:lnTo>
                  <a:pt x="1306" y="3176"/>
                </a:lnTo>
                <a:lnTo>
                  <a:pt x="1296" y="3161"/>
                </a:lnTo>
                <a:lnTo>
                  <a:pt x="1174" y="2900"/>
                </a:lnTo>
                <a:lnTo>
                  <a:pt x="915" y="3031"/>
                </a:lnTo>
                <a:lnTo>
                  <a:pt x="897" y="3037"/>
                </a:lnTo>
                <a:lnTo>
                  <a:pt x="879" y="3039"/>
                </a:lnTo>
                <a:lnTo>
                  <a:pt x="862" y="3037"/>
                </a:lnTo>
                <a:lnTo>
                  <a:pt x="846" y="3031"/>
                </a:lnTo>
                <a:lnTo>
                  <a:pt x="831" y="3020"/>
                </a:lnTo>
                <a:lnTo>
                  <a:pt x="820" y="3007"/>
                </a:lnTo>
                <a:lnTo>
                  <a:pt x="812" y="2991"/>
                </a:lnTo>
                <a:lnTo>
                  <a:pt x="808" y="2974"/>
                </a:lnTo>
                <a:lnTo>
                  <a:pt x="777" y="2690"/>
                </a:lnTo>
                <a:lnTo>
                  <a:pt x="494" y="2733"/>
                </a:lnTo>
                <a:lnTo>
                  <a:pt x="475" y="2733"/>
                </a:lnTo>
                <a:lnTo>
                  <a:pt x="458" y="2730"/>
                </a:lnTo>
                <a:lnTo>
                  <a:pt x="442" y="2722"/>
                </a:lnTo>
                <a:lnTo>
                  <a:pt x="428" y="2709"/>
                </a:lnTo>
                <a:lnTo>
                  <a:pt x="418" y="2694"/>
                </a:lnTo>
                <a:lnTo>
                  <a:pt x="411" y="2678"/>
                </a:lnTo>
                <a:lnTo>
                  <a:pt x="409" y="2661"/>
                </a:lnTo>
                <a:lnTo>
                  <a:pt x="411" y="2643"/>
                </a:lnTo>
                <a:lnTo>
                  <a:pt x="477" y="2358"/>
                </a:lnTo>
                <a:lnTo>
                  <a:pt x="184" y="2301"/>
                </a:lnTo>
                <a:lnTo>
                  <a:pt x="168" y="2295"/>
                </a:lnTo>
                <a:lnTo>
                  <a:pt x="152" y="2286"/>
                </a:lnTo>
                <a:lnTo>
                  <a:pt x="140" y="2274"/>
                </a:lnTo>
                <a:lnTo>
                  <a:pt x="131" y="2258"/>
                </a:lnTo>
                <a:lnTo>
                  <a:pt x="126" y="2241"/>
                </a:lnTo>
                <a:lnTo>
                  <a:pt x="125" y="2224"/>
                </a:lnTo>
                <a:lnTo>
                  <a:pt x="128" y="2207"/>
                </a:lnTo>
                <a:lnTo>
                  <a:pt x="136" y="2191"/>
                </a:lnTo>
                <a:lnTo>
                  <a:pt x="293" y="1940"/>
                </a:lnTo>
                <a:lnTo>
                  <a:pt x="38" y="1804"/>
                </a:lnTo>
                <a:lnTo>
                  <a:pt x="24" y="1794"/>
                </a:lnTo>
                <a:lnTo>
                  <a:pt x="12" y="1780"/>
                </a:lnTo>
                <a:lnTo>
                  <a:pt x="4" y="1765"/>
                </a:lnTo>
                <a:lnTo>
                  <a:pt x="0" y="1746"/>
                </a:lnTo>
                <a:lnTo>
                  <a:pt x="1" y="1728"/>
                </a:lnTo>
                <a:lnTo>
                  <a:pt x="6" y="1711"/>
                </a:lnTo>
                <a:lnTo>
                  <a:pt x="14" y="1696"/>
                </a:lnTo>
                <a:lnTo>
                  <a:pt x="27" y="1683"/>
                </a:lnTo>
                <a:lnTo>
                  <a:pt x="257" y="1494"/>
                </a:lnTo>
                <a:lnTo>
                  <a:pt x="65" y="1284"/>
                </a:lnTo>
                <a:lnTo>
                  <a:pt x="53" y="1270"/>
                </a:lnTo>
                <a:lnTo>
                  <a:pt x="47" y="1253"/>
                </a:lnTo>
                <a:lnTo>
                  <a:pt x="45" y="1236"/>
                </a:lnTo>
                <a:lnTo>
                  <a:pt x="47" y="1218"/>
                </a:lnTo>
                <a:lnTo>
                  <a:pt x="53" y="1202"/>
                </a:lnTo>
                <a:lnTo>
                  <a:pt x="64" y="1187"/>
                </a:lnTo>
                <a:lnTo>
                  <a:pt x="77" y="1175"/>
                </a:lnTo>
                <a:lnTo>
                  <a:pt x="93" y="1167"/>
                </a:lnTo>
                <a:lnTo>
                  <a:pt x="363" y="1064"/>
                </a:lnTo>
                <a:lnTo>
                  <a:pt x="254" y="804"/>
                </a:lnTo>
                <a:lnTo>
                  <a:pt x="250" y="785"/>
                </a:lnTo>
                <a:lnTo>
                  <a:pt x="249" y="768"/>
                </a:lnTo>
                <a:lnTo>
                  <a:pt x="253" y="751"/>
                </a:lnTo>
                <a:lnTo>
                  <a:pt x="260" y="735"/>
                </a:lnTo>
                <a:lnTo>
                  <a:pt x="273" y="721"/>
                </a:lnTo>
                <a:lnTo>
                  <a:pt x="287" y="711"/>
                </a:lnTo>
                <a:lnTo>
                  <a:pt x="304" y="704"/>
                </a:lnTo>
                <a:lnTo>
                  <a:pt x="321" y="701"/>
                </a:lnTo>
                <a:lnTo>
                  <a:pt x="611" y="695"/>
                </a:lnTo>
                <a:lnTo>
                  <a:pt x="598" y="402"/>
                </a:lnTo>
                <a:lnTo>
                  <a:pt x="600" y="385"/>
                </a:lnTo>
                <a:lnTo>
                  <a:pt x="605" y="368"/>
                </a:lnTo>
                <a:lnTo>
                  <a:pt x="614" y="354"/>
                </a:lnTo>
                <a:lnTo>
                  <a:pt x="627" y="341"/>
                </a:lnTo>
                <a:lnTo>
                  <a:pt x="642" y="332"/>
                </a:lnTo>
                <a:lnTo>
                  <a:pt x="659" y="327"/>
                </a:lnTo>
                <a:lnTo>
                  <a:pt x="676" y="326"/>
                </a:lnTo>
                <a:lnTo>
                  <a:pt x="693" y="329"/>
                </a:lnTo>
                <a:lnTo>
                  <a:pt x="970" y="416"/>
                </a:lnTo>
                <a:lnTo>
                  <a:pt x="1044" y="137"/>
                </a:lnTo>
                <a:lnTo>
                  <a:pt x="1050" y="121"/>
                </a:lnTo>
                <a:lnTo>
                  <a:pt x="1060" y="106"/>
                </a:lnTo>
                <a:lnTo>
                  <a:pt x="1074" y="95"/>
                </a:lnTo>
                <a:lnTo>
                  <a:pt x="1090" y="87"/>
                </a:lnTo>
                <a:lnTo>
                  <a:pt x="1108" y="83"/>
                </a:lnTo>
                <a:lnTo>
                  <a:pt x="1125" y="84"/>
                </a:lnTo>
                <a:lnTo>
                  <a:pt x="1143" y="88"/>
                </a:lnTo>
                <a:lnTo>
                  <a:pt x="1158" y="97"/>
                </a:lnTo>
                <a:lnTo>
                  <a:pt x="1394" y="269"/>
                </a:lnTo>
                <a:lnTo>
                  <a:pt x="1562" y="31"/>
                </a:lnTo>
                <a:lnTo>
                  <a:pt x="1574" y="18"/>
                </a:lnTo>
                <a:lnTo>
                  <a:pt x="1588" y="9"/>
                </a:lnTo>
                <a:lnTo>
                  <a:pt x="1604" y="3"/>
                </a:lnTo>
                <a:lnTo>
                  <a:pt x="1623" y="0"/>
                </a:lnTo>
                <a:close/>
              </a:path>
            </a:pathLst>
          </a:custGeom>
          <a:solidFill>
            <a:srgbClr val="FFFFFF"/>
          </a:solidFill>
          <a:ln w="0">
            <a:solidFill>
              <a:srgbClr val="FFFFFF"/>
            </a:solidFill>
            <a:prstDash val="solid"/>
            <a:round/>
            <a:headEnd/>
            <a:tailEnd/>
          </a:ln>
        </xdr:spPr>
      </xdr:sp>
      <xdr:sp macro="" textlink="">
        <xdr:nvSpPr>
          <xdr:cNvPr id="12" name="Freeform 62">
            <a:extLst>
              <a:ext uri="{FF2B5EF4-FFF2-40B4-BE49-F238E27FC236}">
                <a16:creationId xmlns:a16="http://schemas.microsoft.com/office/drawing/2014/main" id="{00000000-0008-0000-0400-00000C000000}"/>
              </a:ext>
            </a:extLst>
          </xdr:cNvPr>
          <xdr:cNvSpPr>
            <a:spLocks noEditPoints="1"/>
          </xdr:cNvSpPr>
        </xdr:nvSpPr>
        <xdr:spPr bwMode="auto">
          <a:xfrm>
            <a:off x="704" y="851"/>
            <a:ext cx="26" cy="26"/>
          </a:xfrm>
          <a:custGeom>
            <a:avLst/>
            <a:gdLst>
              <a:gd name="T0" fmla="*/ 866 w 1889"/>
              <a:gd name="T1" fmla="*/ 1272 h 1877"/>
              <a:gd name="T2" fmla="*/ 799 w 1889"/>
              <a:gd name="T3" fmla="*/ 1339 h 1877"/>
              <a:gd name="T4" fmla="*/ 772 w 1889"/>
              <a:gd name="T5" fmla="*/ 1435 h 1877"/>
              <a:gd name="T6" fmla="*/ 798 w 1889"/>
              <a:gd name="T7" fmla="*/ 1530 h 1877"/>
              <a:gd name="T8" fmla="*/ 866 w 1889"/>
              <a:gd name="T9" fmla="*/ 1597 h 1877"/>
              <a:gd name="T10" fmla="*/ 961 w 1889"/>
              <a:gd name="T11" fmla="*/ 1622 h 1877"/>
              <a:gd name="T12" fmla="*/ 1057 w 1889"/>
              <a:gd name="T13" fmla="*/ 1597 h 1877"/>
              <a:gd name="T14" fmla="*/ 1125 w 1889"/>
              <a:gd name="T15" fmla="*/ 1530 h 1877"/>
              <a:gd name="T16" fmla="*/ 1150 w 1889"/>
              <a:gd name="T17" fmla="*/ 1435 h 1877"/>
              <a:gd name="T18" fmla="*/ 1128 w 1889"/>
              <a:gd name="T19" fmla="*/ 1347 h 1877"/>
              <a:gd name="T20" fmla="*/ 1070 w 1889"/>
              <a:gd name="T21" fmla="*/ 1281 h 1877"/>
              <a:gd name="T22" fmla="*/ 1017 w 1889"/>
              <a:gd name="T23" fmla="*/ 722 h 1877"/>
              <a:gd name="T24" fmla="*/ 1281 w 1889"/>
              <a:gd name="T25" fmla="*/ 532 h 1877"/>
              <a:gd name="T26" fmla="*/ 1448 w 1889"/>
              <a:gd name="T27" fmla="*/ 366 h 1877"/>
              <a:gd name="T28" fmla="*/ 540 w 1889"/>
              <a:gd name="T29" fmla="*/ 616 h 1877"/>
              <a:gd name="T30" fmla="*/ 709 w 1889"/>
              <a:gd name="T31" fmla="*/ 214 h 1877"/>
              <a:gd name="T32" fmla="*/ 808 w 1889"/>
              <a:gd name="T33" fmla="*/ 426 h 1877"/>
              <a:gd name="T34" fmla="*/ 1102 w 1889"/>
              <a:gd name="T35" fmla="*/ 426 h 1877"/>
              <a:gd name="T36" fmla="*/ 1201 w 1889"/>
              <a:gd name="T37" fmla="*/ 214 h 1877"/>
              <a:gd name="T38" fmla="*/ 1020 w 1889"/>
              <a:gd name="T39" fmla="*/ 412 h 1877"/>
              <a:gd name="T40" fmla="*/ 945 w 1889"/>
              <a:gd name="T41" fmla="*/ 0 h 1877"/>
              <a:gd name="T42" fmla="*/ 1171 w 1889"/>
              <a:gd name="T43" fmla="*/ 27 h 1877"/>
              <a:gd name="T44" fmla="*/ 1379 w 1889"/>
              <a:gd name="T45" fmla="*/ 104 h 1877"/>
              <a:gd name="T46" fmla="*/ 1559 w 1889"/>
              <a:gd name="T47" fmla="*/ 226 h 1877"/>
              <a:gd name="T48" fmla="*/ 1707 w 1889"/>
              <a:gd name="T49" fmla="*/ 384 h 1877"/>
              <a:gd name="T50" fmla="*/ 1815 w 1889"/>
              <a:gd name="T51" fmla="*/ 573 h 1877"/>
              <a:gd name="T52" fmla="*/ 1877 w 1889"/>
              <a:gd name="T53" fmla="*/ 787 h 1877"/>
              <a:gd name="T54" fmla="*/ 1886 w 1889"/>
              <a:gd name="T55" fmla="*/ 1015 h 1877"/>
              <a:gd name="T56" fmla="*/ 1840 w 1889"/>
              <a:gd name="T57" fmla="*/ 1235 h 1877"/>
              <a:gd name="T58" fmla="*/ 1748 w 1889"/>
              <a:gd name="T59" fmla="*/ 1433 h 1877"/>
              <a:gd name="T60" fmla="*/ 1612 w 1889"/>
              <a:gd name="T61" fmla="*/ 1602 h 1877"/>
              <a:gd name="T62" fmla="*/ 1442 w 1889"/>
              <a:gd name="T63" fmla="*/ 1736 h 1877"/>
              <a:gd name="T64" fmla="*/ 1243 w 1889"/>
              <a:gd name="T65" fmla="*/ 1829 h 1877"/>
              <a:gd name="T66" fmla="*/ 1022 w 1889"/>
              <a:gd name="T67" fmla="*/ 1874 h 1877"/>
              <a:gd name="T68" fmla="*/ 792 w 1889"/>
              <a:gd name="T69" fmla="*/ 1865 h 1877"/>
              <a:gd name="T70" fmla="*/ 577 w 1889"/>
              <a:gd name="T71" fmla="*/ 1804 h 1877"/>
              <a:gd name="T72" fmla="*/ 387 w 1889"/>
              <a:gd name="T73" fmla="*/ 1696 h 1877"/>
              <a:gd name="T74" fmla="*/ 227 w 1889"/>
              <a:gd name="T75" fmla="*/ 1549 h 1877"/>
              <a:gd name="T76" fmla="*/ 106 w 1889"/>
              <a:gd name="T77" fmla="*/ 1369 h 1877"/>
              <a:gd name="T78" fmla="*/ 28 w 1889"/>
              <a:gd name="T79" fmla="*/ 1164 h 1877"/>
              <a:gd name="T80" fmla="*/ 0 w 1889"/>
              <a:gd name="T81" fmla="*/ 939 h 1877"/>
              <a:gd name="T82" fmla="*/ 28 w 1889"/>
              <a:gd name="T83" fmla="*/ 713 h 1877"/>
              <a:gd name="T84" fmla="*/ 106 w 1889"/>
              <a:gd name="T85" fmla="*/ 508 h 1877"/>
              <a:gd name="T86" fmla="*/ 227 w 1889"/>
              <a:gd name="T87" fmla="*/ 328 h 1877"/>
              <a:gd name="T88" fmla="*/ 387 w 1889"/>
              <a:gd name="T89" fmla="*/ 181 h 1877"/>
              <a:gd name="T90" fmla="*/ 577 w 1889"/>
              <a:gd name="T91" fmla="*/ 73 h 1877"/>
              <a:gd name="T92" fmla="*/ 792 w 1889"/>
              <a:gd name="T93" fmla="*/ 12 h 18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1889" h="1877">
                <a:moveTo>
                  <a:pt x="897" y="722"/>
                </a:moveTo>
                <a:lnTo>
                  <a:pt x="897" y="1259"/>
                </a:lnTo>
                <a:lnTo>
                  <a:pt x="866" y="1272"/>
                </a:lnTo>
                <a:lnTo>
                  <a:pt x="840" y="1291"/>
                </a:lnTo>
                <a:lnTo>
                  <a:pt x="817" y="1313"/>
                </a:lnTo>
                <a:lnTo>
                  <a:pt x="799" y="1339"/>
                </a:lnTo>
                <a:lnTo>
                  <a:pt x="785" y="1369"/>
                </a:lnTo>
                <a:lnTo>
                  <a:pt x="775" y="1400"/>
                </a:lnTo>
                <a:lnTo>
                  <a:pt x="772" y="1435"/>
                </a:lnTo>
                <a:lnTo>
                  <a:pt x="775" y="1469"/>
                </a:lnTo>
                <a:lnTo>
                  <a:pt x="784" y="1500"/>
                </a:lnTo>
                <a:lnTo>
                  <a:pt x="798" y="1530"/>
                </a:lnTo>
                <a:lnTo>
                  <a:pt x="817" y="1556"/>
                </a:lnTo>
                <a:lnTo>
                  <a:pt x="839" y="1578"/>
                </a:lnTo>
                <a:lnTo>
                  <a:pt x="866" y="1597"/>
                </a:lnTo>
                <a:lnTo>
                  <a:pt x="896" y="1611"/>
                </a:lnTo>
                <a:lnTo>
                  <a:pt x="927" y="1619"/>
                </a:lnTo>
                <a:lnTo>
                  <a:pt x="961" y="1622"/>
                </a:lnTo>
                <a:lnTo>
                  <a:pt x="996" y="1619"/>
                </a:lnTo>
                <a:lnTo>
                  <a:pt x="1027" y="1611"/>
                </a:lnTo>
                <a:lnTo>
                  <a:pt x="1057" y="1597"/>
                </a:lnTo>
                <a:lnTo>
                  <a:pt x="1083" y="1578"/>
                </a:lnTo>
                <a:lnTo>
                  <a:pt x="1106" y="1556"/>
                </a:lnTo>
                <a:lnTo>
                  <a:pt x="1125" y="1530"/>
                </a:lnTo>
                <a:lnTo>
                  <a:pt x="1138" y="1500"/>
                </a:lnTo>
                <a:lnTo>
                  <a:pt x="1147" y="1469"/>
                </a:lnTo>
                <a:lnTo>
                  <a:pt x="1150" y="1435"/>
                </a:lnTo>
                <a:lnTo>
                  <a:pt x="1148" y="1403"/>
                </a:lnTo>
                <a:lnTo>
                  <a:pt x="1140" y="1374"/>
                </a:lnTo>
                <a:lnTo>
                  <a:pt x="1128" y="1347"/>
                </a:lnTo>
                <a:lnTo>
                  <a:pt x="1113" y="1322"/>
                </a:lnTo>
                <a:lnTo>
                  <a:pt x="1092" y="1300"/>
                </a:lnTo>
                <a:lnTo>
                  <a:pt x="1070" y="1281"/>
                </a:lnTo>
                <a:lnTo>
                  <a:pt x="1044" y="1266"/>
                </a:lnTo>
                <a:lnTo>
                  <a:pt x="1017" y="1255"/>
                </a:lnTo>
                <a:lnTo>
                  <a:pt x="1017" y="722"/>
                </a:lnTo>
                <a:lnTo>
                  <a:pt x="897" y="722"/>
                </a:lnTo>
                <a:close/>
                <a:moveTo>
                  <a:pt x="1448" y="366"/>
                </a:moveTo>
                <a:lnTo>
                  <a:pt x="1281" y="532"/>
                </a:lnTo>
                <a:lnTo>
                  <a:pt x="1366" y="616"/>
                </a:lnTo>
                <a:lnTo>
                  <a:pt x="1533" y="450"/>
                </a:lnTo>
                <a:lnTo>
                  <a:pt x="1448" y="366"/>
                </a:lnTo>
                <a:close/>
                <a:moveTo>
                  <a:pt x="459" y="366"/>
                </a:moveTo>
                <a:lnTo>
                  <a:pt x="374" y="450"/>
                </a:lnTo>
                <a:lnTo>
                  <a:pt x="540" y="616"/>
                </a:lnTo>
                <a:lnTo>
                  <a:pt x="625" y="532"/>
                </a:lnTo>
                <a:lnTo>
                  <a:pt x="459" y="366"/>
                </a:lnTo>
                <a:close/>
                <a:moveTo>
                  <a:pt x="709" y="214"/>
                </a:moveTo>
                <a:lnTo>
                  <a:pt x="600" y="264"/>
                </a:lnTo>
                <a:lnTo>
                  <a:pt x="699" y="477"/>
                </a:lnTo>
                <a:lnTo>
                  <a:pt x="808" y="426"/>
                </a:lnTo>
                <a:lnTo>
                  <a:pt x="709" y="214"/>
                </a:lnTo>
                <a:close/>
                <a:moveTo>
                  <a:pt x="1201" y="214"/>
                </a:moveTo>
                <a:lnTo>
                  <a:pt x="1102" y="426"/>
                </a:lnTo>
                <a:lnTo>
                  <a:pt x="1211" y="477"/>
                </a:lnTo>
                <a:lnTo>
                  <a:pt x="1310" y="264"/>
                </a:lnTo>
                <a:lnTo>
                  <a:pt x="1201" y="214"/>
                </a:lnTo>
                <a:close/>
                <a:moveTo>
                  <a:pt x="900" y="179"/>
                </a:moveTo>
                <a:lnTo>
                  <a:pt x="900" y="412"/>
                </a:lnTo>
                <a:lnTo>
                  <a:pt x="1020" y="412"/>
                </a:lnTo>
                <a:lnTo>
                  <a:pt x="1020" y="179"/>
                </a:lnTo>
                <a:lnTo>
                  <a:pt x="900" y="179"/>
                </a:lnTo>
                <a:close/>
                <a:moveTo>
                  <a:pt x="945" y="0"/>
                </a:moveTo>
                <a:lnTo>
                  <a:pt x="1022" y="3"/>
                </a:lnTo>
                <a:lnTo>
                  <a:pt x="1097" y="12"/>
                </a:lnTo>
                <a:lnTo>
                  <a:pt x="1171" y="27"/>
                </a:lnTo>
                <a:lnTo>
                  <a:pt x="1243" y="48"/>
                </a:lnTo>
                <a:lnTo>
                  <a:pt x="1312" y="73"/>
                </a:lnTo>
                <a:lnTo>
                  <a:pt x="1379" y="104"/>
                </a:lnTo>
                <a:lnTo>
                  <a:pt x="1442" y="141"/>
                </a:lnTo>
                <a:lnTo>
                  <a:pt x="1502" y="181"/>
                </a:lnTo>
                <a:lnTo>
                  <a:pt x="1559" y="226"/>
                </a:lnTo>
                <a:lnTo>
                  <a:pt x="1612" y="275"/>
                </a:lnTo>
                <a:lnTo>
                  <a:pt x="1662" y="328"/>
                </a:lnTo>
                <a:lnTo>
                  <a:pt x="1707" y="384"/>
                </a:lnTo>
                <a:lnTo>
                  <a:pt x="1748" y="444"/>
                </a:lnTo>
                <a:lnTo>
                  <a:pt x="1784" y="508"/>
                </a:lnTo>
                <a:lnTo>
                  <a:pt x="1815" y="573"/>
                </a:lnTo>
                <a:lnTo>
                  <a:pt x="1840" y="642"/>
                </a:lnTo>
                <a:lnTo>
                  <a:pt x="1862" y="713"/>
                </a:lnTo>
                <a:lnTo>
                  <a:pt x="1877" y="787"/>
                </a:lnTo>
                <a:lnTo>
                  <a:pt x="1886" y="862"/>
                </a:lnTo>
                <a:lnTo>
                  <a:pt x="1889" y="939"/>
                </a:lnTo>
                <a:lnTo>
                  <a:pt x="1886" y="1015"/>
                </a:lnTo>
                <a:lnTo>
                  <a:pt x="1877" y="1090"/>
                </a:lnTo>
                <a:lnTo>
                  <a:pt x="1862" y="1164"/>
                </a:lnTo>
                <a:lnTo>
                  <a:pt x="1840" y="1235"/>
                </a:lnTo>
                <a:lnTo>
                  <a:pt x="1815" y="1304"/>
                </a:lnTo>
                <a:lnTo>
                  <a:pt x="1784" y="1369"/>
                </a:lnTo>
                <a:lnTo>
                  <a:pt x="1748" y="1433"/>
                </a:lnTo>
                <a:lnTo>
                  <a:pt x="1707" y="1493"/>
                </a:lnTo>
                <a:lnTo>
                  <a:pt x="1662" y="1549"/>
                </a:lnTo>
                <a:lnTo>
                  <a:pt x="1612" y="1602"/>
                </a:lnTo>
                <a:lnTo>
                  <a:pt x="1559" y="1651"/>
                </a:lnTo>
                <a:lnTo>
                  <a:pt x="1502" y="1696"/>
                </a:lnTo>
                <a:lnTo>
                  <a:pt x="1442" y="1736"/>
                </a:lnTo>
                <a:lnTo>
                  <a:pt x="1379" y="1773"/>
                </a:lnTo>
                <a:lnTo>
                  <a:pt x="1312" y="1804"/>
                </a:lnTo>
                <a:lnTo>
                  <a:pt x="1243" y="1829"/>
                </a:lnTo>
                <a:lnTo>
                  <a:pt x="1171" y="1850"/>
                </a:lnTo>
                <a:lnTo>
                  <a:pt x="1097" y="1865"/>
                </a:lnTo>
                <a:lnTo>
                  <a:pt x="1022" y="1874"/>
                </a:lnTo>
                <a:lnTo>
                  <a:pt x="945" y="1877"/>
                </a:lnTo>
                <a:lnTo>
                  <a:pt x="867" y="1874"/>
                </a:lnTo>
                <a:lnTo>
                  <a:pt x="792" y="1865"/>
                </a:lnTo>
                <a:lnTo>
                  <a:pt x="718" y="1850"/>
                </a:lnTo>
                <a:lnTo>
                  <a:pt x="646" y="1829"/>
                </a:lnTo>
                <a:lnTo>
                  <a:pt x="577" y="1804"/>
                </a:lnTo>
                <a:lnTo>
                  <a:pt x="511" y="1773"/>
                </a:lnTo>
                <a:lnTo>
                  <a:pt x="447" y="1736"/>
                </a:lnTo>
                <a:lnTo>
                  <a:pt x="387" y="1696"/>
                </a:lnTo>
                <a:lnTo>
                  <a:pt x="330" y="1651"/>
                </a:lnTo>
                <a:lnTo>
                  <a:pt x="277" y="1602"/>
                </a:lnTo>
                <a:lnTo>
                  <a:pt x="227" y="1549"/>
                </a:lnTo>
                <a:lnTo>
                  <a:pt x="183" y="1493"/>
                </a:lnTo>
                <a:lnTo>
                  <a:pt x="142" y="1433"/>
                </a:lnTo>
                <a:lnTo>
                  <a:pt x="106" y="1369"/>
                </a:lnTo>
                <a:lnTo>
                  <a:pt x="75" y="1304"/>
                </a:lnTo>
                <a:lnTo>
                  <a:pt x="49" y="1235"/>
                </a:lnTo>
                <a:lnTo>
                  <a:pt x="28" y="1164"/>
                </a:lnTo>
                <a:lnTo>
                  <a:pt x="12" y="1090"/>
                </a:lnTo>
                <a:lnTo>
                  <a:pt x="3" y="1015"/>
                </a:lnTo>
                <a:lnTo>
                  <a:pt x="0" y="939"/>
                </a:lnTo>
                <a:lnTo>
                  <a:pt x="3" y="862"/>
                </a:lnTo>
                <a:lnTo>
                  <a:pt x="12" y="787"/>
                </a:lnTo>
                <a:lnTo>
                  <a:pt x="28" y="713"/>
                </a:lnTo>
                <a:lnTo>
                  <a:pt x="49" y="642"/>
                </a:lnTo>
                <a:lnTo>
                  <a:pt x="75" y="573"/>
                </a:lnTo>
                <a:lnTo>
                  <a:pt x="106" y="508"/>
                </a:lnTo>
                <a:lnTo>
                  <a:pt x="142" y="444"/>
                </a:lnTo>
                <a:lnTo>
                  <a:pt x="183" y="384"/>
                </a:lnTo>
                <a:lnTo>
                  <a:pt x="227" y="328"/>
                </a:lnTo>
                <a:lnTo>
                  <a:pt x="277" y="275"/>
                </a:lnTo>
                <a:lnTo>
                  <a:pt x="330" y="226"/>
                </a:lnTo>
                <a:lnTo>
                  <a:pt x="387" y="181"/>
                </a:lnTo>
                <a:lnTo>
                  <a:pt x="447" y="141"/>
                </a:lnTo>
                <a:lnTo>
                  <a:pt x="511" y="104"/>
                </a:lnTo>
                <a:lnTo>
                  <a:pt x="577" y="73"/>
                </a:lnTo>
                <a:lnTo>
                  <a:pt x="646" y="48"/>
                </a:lnTo>
                <a:lnTo>
                  <a:pt x="718" y="27"/>
                </a:lnTo>
                <a:lnTo>
                  <a:pt x="792" y="12"/>
                </a:lnTo>
                <a:lnTo>
                  <a:pt x="867" y="3"/>
                </a:lnTo>
                <a:lnTo>
                  <a:pt x="945" y="0"/>
                </a:lnTo>
                <a:close/>
              </a:path>
            </a:pathLst>
          </a:custGeom>
          <a:solidFill>
            <a:schemeClr val="tx2"/>
          </a:solidFill>
          <a:ln w="0">
            <a:solidFill>
              <a:schemeClr val="tx2"/>
            </a:solidFill>
            <a:prstDash val="solid"/>
            <a:round/>
            <a:headEnd/>
            <a:tailEnd/>
          </a:ln>
        </xdr:spPr>
      </xdr:sp>
    </xdr:grpSp>
    <xdr:clientData fPrintsWithSheet="0"/>
  </xdr:twoCellAnchor>
</xdr:wsDr>
</file>

<file path=xl/tables/table1.xml><?xml version="1.0" encoding="utf-8"?>
<table xmlns="http://schemas.openxmlformats.org/spreadsheetml/2006/main" id="8" name="SummarySpending" displayName="SummarySpending" ref="N4:P17" totalsRowCount="1" headerRowDxfId="781" dataDxfId="780" totalsRowDxfId="779">
  <tableColumns count="3">
    <tableColumn id="1" name="Category" totalsRowLabel="Total" dataDxfId="778" totalsRowDxfId="777"/>
    <tableColumn id="2" name="Total" totalsRowFunction="sum" dataDxfId="776" totalsRowDxfId="775">
      <calculatedColumnFormula>INDIRECT("tblExpenseCategory_01[[#Totals],["&amp;VLOOKUP(#REF!,PeriodLookup,2,TRUE)&amp;"]]")</calculatedColumnFormula>
    </tableColumn>
    <tableColumn id="3" name="% of Income" dataDxfId="774" totalsRowDxfId="773" dataCellStyle="Percent">
      <calculatedColumnFormula>SummarySpending[[#This Row],[Total]]/INDIRECT("tblIncome["&amp;dashboard_period&amp;"]")</calculatedColumnFormula>
    </tableColumn>
  </tableColumns>
  <tableStyleInfo name="TableStyleLight1" showFirstColumn="0" showLastColumn="0" showRowStripes="0" showColumnStripes="0"/>
</table>
</file>

<file path=xl/tables/table2.xml><?xml version="1.0" encoding="utf-8"?>
<table xmlns="http://schemas.openxmlformats.org/spreadsheetml/2006/main" id="1" name="RegisterChk" displayName="RegisterChk" ref="D3:N12" headerRowDxfId="771">
  <autoFilter ref="D3:N12"/>
  <tableColumns count="11">
    <tableColumn id="1" name="Code/ Check #" totalsRowLabel="Totals" dataDxfId="770" totalsRowDxfId="769"/>
    <tableColumn id="6" name="Date" dataDxfId="768" totalsRowDxfId="767"/>
    <tableColumn id="7" name="Description" dataDxfId="766"/>
    <tableColumn id="2" name="Category" dataDxfId="765"/>
    <tableColumn id="3" name="Withdrawal (-)" totalsRowFunction="sum" dataDxfId="764" totalsRowDxfId="763"/>
    <tableColumn id="4" name="Deposit (+)" totalsRowFunction="sum" dataDxfId="762" totalsRowDxfId="761"/>
    <tableColumn id="5" name="Balance" totalsRowFunction="custom" dataDxfId="760">
      <calculatedColumnFormula>IF(ISBLANK(RegisterChk[[#This Row],[Withdrawal (-)]]),J3+RegisterChk[[#This Row],[Deposit (+)]],J3-RegisterChk[[#This Row],[Withdrawal (-)]])</calculatedColumnFormula>
      <totalsRowFormula>RegisterChk[[#Totals],[Deposit (+)]]-RegisterChk[[#Totals],[Withdrawal (-)]]</totalsRowFormula>
    </tableColumn>
    <tableColumn id="9" name="Cleared" dataDxfId="759"/>
    <tableColumn id="8" name="Reconciled" dataDxfId="758"/>
    <tableColumn id="10" name="Transaction Month" dataDxfId="757" totalsRowDxfId="756">
      <calculatedColumnFormula>TEXT(RegisterChk[[#This Row],[Date]],"mmm")</calculatedColumnFormula>
    </tableColumn>
    <tableColumn id="11" name="Transaction Year" dataDxfId="755">
      <calculatedColumnFormula>TEXT(RegisterChk[[#This Row],[Date]],"yyyy")</calculatedColumnFormula>
    </tableColumn>
  </tableColumns>
  <tableStyleInfo name="TableStyleMedium12" showFirstColumn="0" showLastColumn="0" showRowStripes="1" showColumnStripes="0"/>
  <extLst>
    <ext xmlns:x14="http://schemas.microsoft.com/office/spreadsheetml/2009/9/main" uri="{504A1905-F514-4f6f-8877-14C23A59335A}">
      <x14:table altText="Check Register" altTextSummary="A list of check and debit card information, such as Description, Category, Withdrawal, Deposit and calculated Balance."/>
    </ext>
  </extLst>
</table>
</file>

<file path=xl/tables/table3.xml><?xml version="1.0" encoding="utf-8"?>
<table xmlns="http://schemas.openxmlformats.org/spreadsheetml/2006/main" id="3" name="SummaryChk" displayName="SummaryChk" ref="A4:B17" totalsRowShown="0">
  <tableColumns count="2">
    <tableColumn id="1" name="Category" dataDxfId="754"/>
    <tableColumn id="2" name="Total" dataDxfId="753">
      <calculatedColumnFormula>SUMIF(RegisterChk[Category],"=" &amp;SummaryChk[[#This Row],[Category]],RegisterChk[Withdrawal (-)])</calculatedColumnFormula>
    </tableColumn>
  </tableColumns>
  <tableStyleInfo name="TableStyleLight1" showFirstColumn="0" showLastColumn="0" showRowStripes="0" showColumnStripes="0"/>
</table>
</file>

<file path=xl/tables/table4.xml><?xml version="1.0" encoding="utf-8"?>
<table xmlns="http://schemas.openxmlformats.org/spreadsheetml/2006/main" id="2" name="RegisterCC1" displayName="RegisterCC1" ref="D3:N5" headerRowDxfId="751">
  <autoFilter ref="D3:N5"/>
  <tableColumns count="11">
    <tableColumn id="1" name="Code/ Check #" totalsRowLabel="Totals" dataDxfId="750" totalsRowDxfId="749"/>
    <tableColumn id="6" name="Date" dataDxfId="748" totalsRowDxfId="747"/>
    <tableColumn id="7" name="Description" dataDxfId="746" totalsRowDxfId="745"/>
    <tableColumn id="2" name="Category" dataDxfId="744" totalsRowDxfId="743"/>
    <tableColumn id="3" name="Amount Due (-)" totalsRowFunction="sum" dataDxfId="742" totalsRowDxfId="741"/>
    <tableColumn id="4" name="Payment/Credit (+)" totalsRowFunction="sum" dataDxfId="740" totalsRowDxfId="739"/>
    <tableColumn id="5" name="Balance" totalsRowFunction="custom" dataDxfId="738">
      <calculatedColumnFormula>IF(ISBLANK(RegisterCC1[[#This Row],[Amount Due (-)]]),J3-RegisterCC1[[#This Row],[Payment/Credit (+)]],J3+RegisterCC1[[#This Row],[Amount Due (-)]])</calculatedColumnFormula>
      <totalsRowFormula>RegisterCC1[[#Totals],[Payment/Credit (+)]]-RegisterCC1[[#Totals],[Amount Due (-)]]</totalsRowFormula>
    </tableColumn>
    <tableColumn id="10" name="Available Limit" dataDxfId="737"/>
    <tableColumn id="9" name="Cleared" dataDxfId="736"/>
    <tableColumn id="8" name="Reconciled" dataDxfId="735"/>
    <tableColumn id="11" name="Transaction Month" dataDxfId="734">
      <calculatedColumnFormula>TEXT(RegisterCC1[[#This Row],[Date]],"mmm")</calculatedColumnFormula>
    </tableColumn>
  </tableColumns>
  <tableStyleInfo name="TableStyleMedium12" showFirstColumn="0" showLastColumn="0" showRowStripes="1" showColumnStripes="0"/>
  <extLst>
    <ext xmlns:x14="http://schemas.microsoft.com/office/spreadsheetml/2009/9/main" uri="{504A1905-F514-4f6f-8877-14C23A59335A}">
      <x14:table altText="Check Register" altTextSummary="A list of check and debit card information, such as Description, Category, Withdrawal, Deposit and calculated Balance."/>
    </ext>
  </extLst>
</table>
</file>

<file path=xl/tables/table5.xml><?xml version="1.0" encoding="utf-8"?>
<table xmlns="http://schemas.openxmlformats.org/spreadsheetml/2006/main" id="4" name="SummaryCC1" displayName="SummaryCC1" ref="A4:B17" totalsRowShown="0">
  <autoFilter ref="A4:B17">
    <filterColumn colId="0" hiddenButton="1"/>
    <filterColumn colId="1" hiddenButton="1"/>
  </autoFilter>
  <tableColumns count="2">
    <tableColumn id="1" name="Category" dataDxfId="733"/>
    <tableColumn id="2" name="Total" dataDxfId="732">
      <calculatedColumnFormula>SUMIF(RegisterCC1[Category],"=" &amp;SummaryCC1[[#This Row],[Category]],RegisterCC1[Amount Due (-)])</calculatedColumnFormula>
    </tableColumn>
  </tableColumns>
  <tableStyleInfo name="TableStyleLight1" showFirstColumn="0" showLastColumn="0" showRowStripes="0" showColumnStripes="0"/>
</table>
</file>

<file path=xl/tables/table6.xml><?xml version="1.0" encoding="utf-8"?>
<table xmlns="http://schemas.openxmlformats.org/spreadsheetml/2006/main" id="11" name="RegisterCC2" displayName="RegisterCC2" ref="D3:N5" headerRowDxfId="730">
  <autoFilter ref="D3:N5"/>
  <tableColumns count="11">
    <tableColumn id="1" name="Code/ Check #" totalsRowLabel="Totals" dataDxfId="729" totalsRowDxfId="728"/>
    <tableColumn id="6" name="Date" dataDxfId="727" totalsRowDxfId="726"/>
    <tableColumn id="7" name="Description" dataDxfId="725" totalsRowDxfId="724"/>
    <tableColumn id="2" name="Category" dataDxfId="723" totalsRowDxfId="722"/>
    <tableColumn id="3" name="Amount Due (-)" totalsRowFunction="sum" dataDxfId="721" totalsRowDxfId="720"/>
    <tableColumn id="4" name="Payment/Credit (+)" totalsRowFunction="sum" dataDxfId="719" totalsRowDxfId="718"/>
    <tableColumn id="5" name="Balance" totalsRowFunction="custom" dataDxfId="717">
      <calculatedColumnFormula>IF(ISBLANK(RegisterCC2[[#This Row],[Amount Due (-)]]),J3-RegisterCC2[[#This Row],[Payment/Credit (+)]],J3+RegisterCC2[[#This Row],[Amount Due (-)]])</calculatedColumnFormula>
      <totalsRowFormula>RegisterCC2[[#Totals],[Payment/Credit (+)]]-RegisterCC2[[#Totals],[Amount Due (-)]]</totalsRowFormula>
    </tableColumn>
    <tableColumn id="10" name="Available Limit" dataDxfId="716">
      <calculatedColumnFormula>IF(RegisterCC2[[#This Row],[Balance]]&lt;&gt;Max_Limit,Max_Limit-RegisterCC2[[#This Row],[Balance]],RegisterCC2[[#This Row],[Balance]])</calculatedColumnFormula>
    </tableColumn>
    <tableColumn id="9" name="Cleared" dataDxfId="715"/>
    <tableColumn id="8" name="Reconciled" dataDxfId="714"/>
    <tableColumn id="11" name="Transaction Month" dataDxfId="713" totalsRowDxfId="712">
      <calculatedColumnFormula>TEXT(RegisterCC2[[#This Row],[Date]],"mmm")</calculatedColumnFormula>
    </tableColumn>
  </tableColumns>
  <tableStyleInfo name="TableStyleMedium12" showFirstColumn="0" showLastColumn="0" showRowStripes="1" showColumnStripes="0"/>
  <extLst>
    <ext xmlns:x14="http://schemas.microsoft.com/office/spreadsheetml/2009/9/main" uri="{504A1905-F514-4f6f-8877-14C23A59335A}">
      <x14:table altText="Check Register" altTextSummary="A list of check and debit card information, such as Description, Category, Withdrawal, Deposit and calculated Balance."/>
    </ext>
  </extLst>
</table>
</file>

<file path=xl/tables/table7.xml><?xml version="1.0" encoding="utf-8"?>
<table xmlns="http://schemas.openxmlformats.org/spreadsheetml/2006/main" id="12" name="SummaryCC2" displayName="SummaryCC2" ref="A4:B17" totalsRowShown="0">
  <autoFilter ref="A4:B17">
    <filterColumn colId="0" hiddenButton="1"/>
    <filterColumn colId="1" hiddenButton="1"/>
  </autoFilter>
  <tableColumns count="2">
    <tableColumn id="1" name="Category" dataDxfId="711"/>
    <tableColumn id="2" name="Total" dataDxfId="710">
      <calculatedColumnFormula>SUMIF(RegisterCC1[Category],"=" &amp;SummaryCC2[[#This Row],[Category]],RegisterCC1[Amount Due (-)])</calculatedColumnFormula>
    </tableColumn>
  </tableColumns>
  <tableStyleInfo name="TableStyleLight1" showFirstColumn="0" showLastColumn="0" showRowStripes="0" showColumnStripes="0"/>
</table>
</file>

<file path=xl/tables/table8.xml><?xml version="1.0" encoding="utf-8"?>
<table xmlns="http://schemas.openxmlformats.org/spreadsheetml/2006/main" id="5" name="tblIncome" displayName="tblIncome" ref="A12:O13" headerRowCount="0" totalsRowCount="1">
  <tableColumns count="15">
    <tableColumn id="1" name="Income" totalsRowLabel="TOTAL INCOME" headerRowDxfId="709" totalsRowDxfId="708" dataCellStyle="Normal 2"/>
    <tableColumn id="2" name="jan" totalsRowFunction="custom" headerRowDxfId="707" dataDxfId="706" totalsRowDxfId="705" dataCellStyle="Normal 2">
      <calculatedColumnFormula>SUMIFS(RegisterChk[Deposit (+)],RegisterChk[Transaction Month],"=" &amp;B$2,RegisterChk[Transaction Year],"="&amp;$C$1,RegisterChk[Category],"=" &amp;$A12)</calculatedColumnFormula>
      <totalsRowFormula>SUM(tblIncome[jan])</totalsRowFormula>
    </tableColumn>
    <tableColumn id="3" name="feb" totalsRowFunction="custom" headerRowDxfId="704" dataDxfId="703" totalsRowDxfId="702" dataCellStyle="Normal 2">
      <calculatedColumnFormula>SUMIFS(RegisterChk[Deposit (+)],RegisterChk[Transaction Month],"=" &amp;C$2,RegisterChk[Transaction Year],"="&amp;$C$1,RegisterChk[Category],"=" &amp;$A12)</calculatedColumnFormula>
      <totalsRowFormula>SUM(tblIncome[feb])</totalsRowFormula>
    </tableColumn>
    <tableColumn id="4" name="mar" totalsRowFunction="custom" headerRowDxfId="701" dataDxfId="700" totalsRowDxfId="699" dataCellStyle="Normal 2">
      <calculatedColumnFormula>SUMIFS(RegisterChk[Deposit (+)],RegisterChk[Transaction Month],"=" &amp;D$2,RegisterChk[Transaction Year],"="&amp;$C$1,RegisterChk[Category],"=" &amp;$A12)</calculatedColumnFormula>
      <totalsRowFormula>SUM(tblIncome[mar])</totalsRowFormula>
    </tableColumn>
    <tableColumn id="5" name="apr" totalsRowFunction="custom" headerRowDxfId="698" dataDxfId="697" totalsRowDxfId="696" dataCellStyle="Normal 2">
      <calculatedColumnFormula>SUMIFS(RegisterChk[Deposit (+)],RegisterChk[Transaction Month],"=" &amp;E$2,RegisterChk[Transaction Year],"="&amp;$C$1,RegisterChk[Category],"=" &amp;$A12)</calculatedColumnFormula>
      <totalsRowFormula>SUM(tblIncome[apr])</totalsRowFormula>
    </tableColumn>
    <tableColumn id="6" name="may" totalsRowFunction="custom" headerRowDxfId="695" dataDxfId="694" totalsRowDxfId="693" dataCellStyle="Normal 2">
      <calculatedColumnFormula>SUMIFS(RegisterChk[Deposit (+)],RegisterChk[Transaction Month],"=" &amp;F$2,RegisterChk[Transaction Year],"="&amp;$C$1,RegisterChk[Category],"=" &amp;$A12)</calculatedColumnFormula>
      <totalsRowFormula>SUM(tblIncome[may])</totalsRowFormula>
    </tableColumn>
    <tableColumn id="7" name="jun" totalsRowFunction="custom" headerRowDxfId="692" dataDxfId="691" totalsRowDxfId="690" dataCellStyle="Normal 2">
      <calculatedColumnFormula>SUMIFS(RegisterChk[Deposit (+)],RegisterChk[Transaction Month],"=" &amp;G$2,RegisterChk[Transaction Year],"="&amp;$C$1,RegisterChk[Category],"=" &amp;$A12)</calculatedColumnFormula>
      <totalsRowFormula>SUM(tblIncome[jun])</totalsRowFormula>
    </tableColumn>
    <tableColumn id="8" name="jul" totalsRowFunction="custom" headerRowDxfId="689" dataDxfId="688" totalsRowDxfId="687" dataCellStyle="Normal 2">
      <calculatedColumnFormula>SUMIFS(RegisterChk[Deposit (+)],RegisterChk[Transaction Month],"=" &amp;H$2,RegisterChk[Transaction Year],"="&amp;$C$1,RegisterChk[Category],"=" &amp;$A12)</calculatedColumnFormula>
      <totalsRowFormula>SUM(tblIncome[jul])</totalsRowFormula>
    </tableColumn>
    <tableColumn id="9" name="aug" totalsRowFunction="custom" headerRowDxfId="686" dataDxfId="685" totalsRowDxfId="684" dataCellStyle="Normal 2">
      <calculatedColumnFormula>SUMIFS(RegisterChk[Deposit (+)],RegisterChk[Transaction Month],"=" &amp;I$2,RegisterChk[Transaction Year],"="&amp;$C$1,RegisterChk[Category],"=" &amp;$A12)</calculatedColumnFormula>
      <totalsRowFormula>SUM(tblIncome[aug])</totalsRowFormula>
    </tableColumn>
    <tableColumn id="10" name="sep" totalsRowFunction="custom" headerRowDxfId="683" dataDxfId="682" totalsRowDxfId="681" dataCellStyle="Normal 2">
      <calculatedColumnFormula>SUMIFS(RegisterChk[Deposit (+)],RegisterChk[Transaction Month],"=" &amp;J$2,RegisterChk[Transaction Year],"="&amp;$C$1,RegisterChk[Category],"=" &amp;$A12)</calculatedColumnFormula>
      <totalsRowFormula>SUM(tblIncome[sep])</totalsRowFormula>
    </tableColumn>
    <tableColumn id="11" name="oct" totalsRowFunction="custom" headerRowDxfId="680" dataDxfId="679" totalsRowDxfId="678" dataCellStyle="Normal 2">
      <calculatedColumnFormula>SUMIFS(RegisterChk[Deposit (+)],RegisterChk[Transaction Month],"=" &amp;K$2,RegisterChk[Transaction Year],"="&amp;$C$1,RegisterChk[Category],"=" &amp;$A12)</calculatedColumnFormula>
      <totalsRowFormula>SUM(tblIncome[oct])</totalsRowFormula>
    </tableColumn>
    <tableColumn id="12" name="nov" totalsRowFunction="custom" headerRowDxfId="677" dataDxfId="676" totalsRowDxfId="675" dataCellStyle="Normal 2">
      <calculatedColumnFormula>SUMIFS(RegisterChk[Deposit (+)],RegisterChk[Transaction Month],"=" &amp;L$2,RegisterChk[Transaction Year],"="&amp;$C$1,RegisterChk[Category],"=" &amp;$A12)</calculatedColumnFormula>
      <totalsRowFormula>SUM(tblIncome[nov])</totalsRowFormula>
    </tableColumn>
    <tableColumn id="13" name="dec" totalsRowFunction="custom" headerRowDxfId="674" dataDxfId="673" totalsRowDxfId="672" dataCellStyle="Normal 2">
      <calculatedColumnFormula>SUMIFS(RegisterChk[Deposit (+)],RegisterChk[Transaction Month],"=" &amp;M$2,RegisterChk[Transaction Year],"="&amp;$C$1,RegisterChk[Category],"=" &amp;$A12)</calculatedColumnFormula>
      <totalsRowFormula>SUM(tblIncome[dec])</totalsRowFormula>
    </tableColumn>
    <tableColumn id="14" name="year" totalsRowFunction="custom" headerRowDxfId="671" dataDxfId="670" totalsRowDxfId="669" dataCellStyle="Normal 2">
      <calculatedColumnFormula>SUM(tblIncome[[#This Row],[jan]:[dec]])</calculatedColumnFormula>
      <totalsRowFormula>SUM(tblIncome[year])</totalsRowFormula>
    </tableColumn>
    <tableColumn id="15" name="avg" totalsRowFunction="custom" headerRowDxfId="668" dataDxfId="667" totalsRowDxfId="666" dataCellStyle="Normal 2">
      <calculatedColumnFormula>SUM(B12:M12)/MONTH(NOW())</calculatedColumnFormula>
      <totalsRowFormula>AVERAGEIF(B13:M13,"&lt;&gt;0")</totalsRowFormula>
    </tableColumn>
  </tableColumns>
  <tableStyleInfo name="TableStyleMedium19" showFirstColumn="1" showLastColumn="0" showRowStripes="1" showColumnStripes="0"/>
  <extLst>
    <ext xmlns:x14="http://schemas.microsoft.com/office/spreadsheetml/2009/9/main" uri="{504A1905-F514-4f6f-8877-14C23A59335A}">
      <x14:table altText="Income" altTextSummary="List of monthly income sources and amounts"/>
    </ext>
  </extLst>
</table>
</file>

<file path=xl/tables/table9.xml><?xml version="1.0" encoding="utf-8"?>
<table xmlns="http://schemas.openxmlformats.org/spreadsheetml/2006/main" id="6" name="tblExpenseCategory_01" displayName="tblExpenseCategory_01" ref="A17:O20" headerRowCount="0" totalsRowCount="1" headerRowDxfId="665" dataDxfId="664" totalsRowDxfId="663">
  <tableColumns count="15">
    <tableColumn id="1" name="Home" totalsRowFunction="custom" headerRowDxfId="662" dataDxfId="661" totalsRowDxfId="660">
      <totalsRowFormula>UPPER("Total " &amp; A16)</totalsRowFormula>
    </tableColumn>
    <tableColumn id="2" name="jan" totalsRowFunction="custom" headerRowDxfId="659" dataDxfId="658" totalsRowDxfId="657" dataCellStyle="Normal 2">
      <calculatedColumnFormula>SUMIFS(RegisterChk[Withdrawal (-)],RegisterChk[Transaction Month],"=" &amp;B$2,RegisterChk[Transaction Year],"="&amp;$C$1,RegisterChk[Category],"=" &amp;$A16)</calculatedColumnFormula>
      <totalsRowFormula>SUM(tblExpenseCategory_01[jan])</totalsRowFormula>
    </tableColumn>
    <tableColumn id="3" name="feb" totalsRowFunction="custom" headerRowDxfId="656" dataDxfId="655" totalsRowDxfId="654">
      <calculatedColumnFormula>SUMIFS(RegisterChk[Withdrawal (-)],RegisterChk[Transaction Month],"=" &amp;C$2,RegisterChk[Transaction Year],"="&amp;$C$1,RegisterChk[Category],"=" &amp;$A16)</calculatedColumnFormula>
      <totalsRowFormula>SUM(tblExpenseCategory_01[feb])</totalsRowFormula>
    </tableColumn>
    <tableColumn id="4" name="mar" totalsRowFunction="custom" headerRowDxfId="653" dataDxfId="652" totalsRowDxfId="651">
      <calculatedColumnFormula>SUMIFS(RegisterChk[Withdrawal (-)],RegisterChk[Transaction Month],"=" &amp;D$2,RegisterChk[Transaction Year],"="&amp;$C$1,RegisterChk[Category],"=" &amp;$A16)</calculatedColumnFormula>
      <totalsRowFormula>SUM(tblExpenseCategory_01[mar])</totalsRowFormula>
    </tableColumn>
    <tableColumn id="5" name="apr" totalsRowFunction="custom" headerRowDxfId="650" dataDxfId="649" totalsRowDxfId="648">
      <calculatedColumnFormula>SUMIFS(RegisterChk[Withdrawal (-)],RegisterChk[Transaction Month],"=" &amp;E$2,RegisterChk[Transaction Year],"="&amp;$C$1,RegisterChk[Category],"=" &amp;$A16)</calculatedColumnFormula>
      <totalsRowFormula>SUM(tblExpenseCategory_01[apr])</totalsRowFormula>
    </tableColumn>
    <tableColumn id="6" name="may" totalsRowFunction="custom" headerRowDxfId="647" dataDxfId="646" totalsRowDxfId="645">
      <calculatedColumnFormula>SUMIFS(RegisterChk[Withdrawal (-)],RegisterChk[Transaction Month],"=" &amp;F$2,RegisterChk[Transaction Year],"="&amp;$C$1,RegisterChk[Category],"=" &amp;$A16)</calculatedColumnFormula>
      <totalsRowFormula>SUM(tblExpenseCategory_01[may])</totalsRowFormula>
    </tableColumn>
    <tableColumn id="7" name="jun" totalsRowFunction="custom" headerRowDxfId="644" dataDxfId="643" totalsRowDxfId="642">
      <calculatedColumnFormula>SUMIFS(RegisterChk[Withdrawal (-)],RegisterChk[Transaction Month],"=" &amp;G$2,RegisterChk[Transaction Year],"="&amp;$C$1,RegisterChk[Category],"=" &amp;$A16)</calculatedColumnFormula>
      <totalsRowFormula>SUM(tblExpenseCategory_01[jun])</totalsRowFormula>
    </tableColumn>
    <tableColumn id="8" name="jul" totalsRowFunction="custom" headerRowDxfId="641" dataDxfId="640" totalsRowDxfId="639">
      <calculatedColumnFormula>SUMIFS(RegisterChk[Withdrawal (-)],RegisterChk[Transaction Month],"=" &amp;H$2,RegisterChk[Transaction Year],"="&amp;$C$1,RegisterChk[Category],"=" &amp;$A16)</calculatedColumnFormula>
      <totalsRowFormula>SUM(tblExpenseCategory_01[jul])</totalsRowFormula>
    </tableColumn>
    <tableColumn id="9" name="aug" totalsRowFunction="custom" headerRowDxfId="638" dataDxfId="637" totalsRowDxfId="636">
      <calculatedColumnFormula>SUMIFS(RegisterChk[Withdrawal (-)],RegisterChk[Transaction Month],"=" &amp;I$2,RegisterChk[Transaction Year],"="&amp;$C$1,RegisterChk[Category],"=" &amp;$A16)</calculatedColumnFormula>
      <totalsRowFormula>SUM(tblExpenseCategory_01[aug])</totalsRowFormula>
    </tableColumn>
    <tableColumn id="10" name="sep" totalsRowFunction="custom" headerRowDxfId="635" dataDxfId="634" totalsRowDxfId="633">
      <calculatedColumnFormula>SUMIFS(RegisterChk[Withdrawal (-)],RegisterChk[Transaction Month],"=" &amp;J$2,RegisterChk[Transaction Year],"="&amp;$C$1,RegisterChk[Category],"=" &amp;$A16)</calculatedColumnFormula>
      <totalsRowFormula>SUM(tblExpenseCategory_01[sep])</totalsRowFormula>
    </tableColumn>
    <tableColumn id="11" name="oct" totalsRowFunction="custom" headerRowDxfId="632" dataDxfId="631" totalsRowDxfId="630">
      <calculatedColumnFormula>SUMIFS(RegisterChk[Withdrawal (-)],RegisterChk[Transaction Month],"=" &amp;K$2,RegisterChk[Transaction Year],"="&amp;$C$1,RegisterChk[Category],"=" &amp;$A16)</calculatedColumnFormula>
      <totalsRowFormula>SUM(tblExpenseCategory_01[oct])</totalsRowFormula>
    </tableColumn>
    <tableColumn id="12" name="nov" totalsRowFunction="custom" headerRowDxfId="629" dataDxfId="628" totalsRowDxfId="627">
      <calculatedColumnFormula>SUMIFS(RegisterChk[Withdrawal (-)],RegisterChk[Transaction Month],"=" &amp;L$2,RegisterChk[Transaction Year],"="&amp;$C$1,RegisterChk[Category],"=" &amp;$A16)</calculatedColumnFormula>
      <totalsRowFormula>SUM(tblExpenseCategory_01[nov])</totalsRowFormula>
    </tableColumn>
    <tableColumn id="13" name="dec" totalsRowFunction="custom" headerRowDxfId="626" dataDxfId="625" totalsRowDxfId="624">
      <calculatedColumnFormula>SUMIFS(RegisterChk[Withdrawal (-)],RegisterChk[Transaction Month],"=" &amp;M$2,RegisterChk[Transaction Year],"="&amp;$C$1,RegisterChk[Category],"=" &amp;$A16)</calculatedColumnFormula>
      <totalsRowFormula>SUM(tblExpenseCategory_01[dec])</totalsRowFormula>
    </tableColumn>
    <tableColumn id="14" name="year" totalsRowFunction="custom" headerRowDxfId="623" dataDxfId="622" totalsRowDxfId="621">
      <calculatedColumnFormula>SUM(tblExpenseCategory_01[[#This Row],[jan]:[dec]])</calculatedColumnFormula>
      <totalsRowFormula>SUM(tblExpenseCategory_01[year])</totalsRowFormula>
    </tableColumn>
    <tableColumn id="15" name="avg" totalsRowFunction="custom" headerRowDxfId="620" dataDxfId="619" totalsRowDxfId="618">
      <calculatedColumnFormula>SUM(B17:M17)/MONTH(NOW())</calculatedColumnFormula>
      <totalsRowFormula>SUM(B20:M20)/MONTH(NOW())</totalsRowFormula>
    </tableColumn>
  </tableColumns>
  <tableStyleInfo name="TableStyleMedium19" showFirstColumn="1" showLastColumn="0" showRowStripes="1" showColumnStripes="0"/>
  <extLst>
    <ext xmlns:x14="http://schemas.microsoft.com/office/spreadsheetml/2009/9/main" uri="{504A1905-F514-4f6f-8877-14C23A59335A}">
      <x14:table altText="Home expenses" altTextSummary="List of home expenses by month such as, Mortgage/Rent, Electricity, Phone, etc."/>
    </ext>
  </extLst>
</table>
</file>

<file path=xl/tables/table10.xml><?xml version="1.0" encoding="utf-8"?>
<table xmlns="http://schemas.openxmlformats.org/spreadsheetml/2006/main" id="7" name="tblExpenseCategory_02" displayName="tblExpenseCategory_02" ref="A24:O27" headerRowCount="0" totalsRowCount="1">
  <tableColumns count="15">
    <tableColumn id="1" name="Daily Living" totalsRowFunction="custom" headerRowDxfId="617" dataDxfId="616" totalsRowDxfId="615" dataCellStyle="Normal 2">
      <totalsRowFormula>UPPER("Total " &amp; A23)</totalsRowFormula>
    </tableColumn>
    <tableColumn id="2" name="jan" totalsRowFunction="custom" headerRowDxfId="614" dataDxfId="613" totalsRowDxfId="612" dataCellStyle="Normal 2">
      <calculatedColumnFormula>SUMIFS(RegisterChk[Withdrawal (-)],RegisterChk[Transaction Month],"=" &amp;B$2,RegisterChk[Transaction Year],"="&amp;$C$1,RegisterChk[Category],"=" &amp;$A23)</calculatedColumnFormula>
      <totalsRowFormula>SUM(tblExpenseCategory_02[jan])</totalsRowFormula>
    </tableColumn>
    <tableColumn id="3" name="feb" totalsRowFunction="custom" headerRowDxfId="611" dataDxfId="610" totalsRowDxfId="609" dataCellStyle="Normal 2">
      <calculatedColumnFormula>SUMIFS(RegisterChk[Withdrawal (-)],RegisterChk[Transaction Month],"=" &amp;C$2,RegisterChk[Transaction Year],"="&amp;$C$1,RegisterChk[Category],"=" &amp;$A23)</calculatedColumnFormula>
      <totalsRowFormula>SUM(tblExpenseCategory_02[feb])</totalsRowFormula>
    </tableColumn>
    <tableColumn id="4" name="mar" totalsRowFunction="custom" headerRowDxfId="608" dataDxfId="607" totalsRowDxfId="606" dataCellStyle="Normal 2">
      <calculatedColumnFormula>SUMIFS(RegisterChk[Withdrawal (-)],RegisterChk[Transaction Month],"=" &amp;D$2,RegisterChk[Transaction Year],"="&amp;$C$1,RegisterChk[Category],"=" &amp;$A23)</calculatedColumnFormula>
      <totalsRowFormula>SUM(tblExpenseCategory_02[mar])</totalsRowFormula>
    </tableColumn>
    <tableColumn id="5" name="apr" totalsRowFunction="custom" headerRowDxfId="605" dataDxfId="604" totalsRowDxfId="603" dataCellStyle="Normal 2">
      <calculatedColumnFormula>SUMIFS(RegisterChk[Withdrawal (-)],RegisterChk[Transaction Month],"=" &amp;E$2,RegisterChk[Transaction Year],"="&amp;$C$1,RegisterChk[Category],"=" &amp;$A23)</calculatedColumnFormula>
      <totalsRowFormula>SUM(tblExpenseCategory_02[apr])</totalsRowFormula>
    </tableColumn>
    <tableColumn id="6" name="may" totalsRowFunction="custom" headerRowDxfId="602" dataDxfId="601" totalsRowDxfId="600" dataCellStyle="Normal 2">
      <calculatedColumnFormula>SUMIFS(RegisterChk[Withdrawal (-)],RegisterChk[Transaction Month],"=" &amp;F$2,RegisterChk[Transaction Year],"="&amp;$C$1,RegisterChk[Category],"=" &amp;$A23)</calculatedColumnFormula>
      <totalsRowFormula>SUM(tblExpenseCategory_02[may])</totalsRowFormula>
    </tableColumn>
    <tableColumn id="7" name="jun" totalsRowFunction="custom" headerRowDxfId="599" dataDxfId="598" totalsRowDxfId="597" dataCellStyle="Normal 2">
      <calculatedColumnFormula>SUMIFS(RegisterChk[Withdrawal (-)],RegisterChk[Transaction Month],"=" &amp;G$2,RegisterChk[Transaction Year],"="&amp;$C$1,RegisterChk[Category],"=" &amp;$A23)</calculatedColumnFormula>
      <totalsRowFormula>SUM(tblExpenseCategory_02[jun])</totalsRowFormula>
    </tableColumn>
    <tableColumn id="8" name="jul" totalsRowFunction="custom" headerRowDxfId="596" dataDxfId="595" totalsRowDxfId="594" dataCellStyle="Normal 2">
      <calculatedColumnFormula>SUMIFS(RegisterChk[Withdrawal (-)],RegisterChk[Transaction Month],"=" &amp;H$2,RegisterChk[Transaction Year],"="&amp;$C$1,RegisterChk[Category],"=" &amp;$A23)</calculatedColumnFormula>
      <totalsRowFormula>SUM(tblExpenseCategory_02[jul])</totalsRowFormula>
    </tableColumn>
    <tableColumn id="9" name="aug" totalsRowFunction="custom" headerRowDxfId="593" dataDxfId="592" totalsRowDxfId="591" dataCellStyle="Normal 2">
      <calculatedColumnFormula>SUMIFS(RegisterChk[Withdrawal (-)],RegisterChk[Transaction Month],"=" &amp;I$2,RegisterChk[Transaction Year],"="&amp;$C$1,RegisterChk[Category],"=" &amp;$A23)</calculatedColumnFormula>
      <totalsRowFormula>SUM(tblExpenseCategory_02[aug])</totalsRowFormula>
    </tableColumn>
    <tableColumn id="10" name="sep" totalsRowFunction="custom" headerRowDxfId="590" dataDxfId="589" totalsRowDxfId="588" dataCellStyle="Normal 2">
      <calculatedColumnFormula>SUMIFS(RegisterChk[Withdrawal (-)],RegisterChk[Transaction Month],"=" &amp;J$2,RegisterChk[Transaction Year],"="&amp;$C$1,RegisterChk[Category],"=" &amp;$A23)</calculatedColumnFormula>
      <totalsRowFormula>SUM(tblExpenseCategory_02[sep])</totalsRowFormula>
    </tableColumn>
    <tableColumn id="11" name="oct" totalsRowFunction="custom" headerRowDxfId="587" dataDxfId="586" totalsRowDxfId="585" dataCellStyle="Normal 2">
      <calculatedColumnFormula>SUMIFS(RegisterChk[Withdrawal (-)],RegisterChk[Transaction Month],"=" &amp;K$2,RegisterChk[Transaction Year],"="&amp;$C$1,RegisterChk[Category],"=" &amp;$A23)</calculatedColumnFormula>
      <totalsRowFormula>SUM(tblExpenseCategory_02[oct])</totalsRowFormula>
    </tableColumn>
    <tableColumn id="12" name="nov" totalsRowFunction="custom" headerRowDxfId="584" dataDxfId="583" totalsRowDxfId="582" dataCellStyle="Normal 2">
      <calculatedColumnFormula>SUMIFS(RegisterChk[Withdrawal (-)],RegisterChk[Transaction Month],"=" &amp;L$2,RegisterChk[Transaction Year],"="&amp;$C$1,RegisterChk[Category],"=" &amp;$A23)</calculatedColumnFormula>
      <totalsRowFormula>SUM(tblExpenseCategory_02[nov])</totalsRowFormula>
    </tableColumn>
    <tableColumn id="13" name="dec" totalsRowFunction="custom" headerRowDxfId="581" dataDxfId="580" totalsRowDxfId="579" dataCellStyle="Normal 2">
      <calculatedColumnFormula>SUMIFS(RegisterChk[Withdrawal (-)],RegisterChk[Transaction Month],"=" &amp;M$2,RegisterChk[Transaction Year],"="&amp;$C$1,RegisterChk[Category],"=" &amp;$A23)</calculatedColumnFormula>
      <totalsRowFormula>SUM(tblExpenseCategory_02[dec])</totalsRowFormula>
    </tableColumn>
    <tableColumn id="14" name="year" totalsRowFunction="custom" headerRowDxfId="578" dataDxfId="577" totalsRowDxfId="576">
      <calculatedColumnFormula>SUM(tblExpenseCategory_02[[#This Row],[jan]:[dec]])</calculatedColumnFormula>
      <totalsRowFormula>SUM(tblExpenseCategory_02[year])</totalsRowFormula>
    </tableColumn>
    <tableColumn id="15" name="avg" totalsRowFunction="custom" headerRowDxfId="575" dataDxfId="574" totalsRowDxfId="573">
      <calculatedColumnFormula>SUM(B24:M24)/MONTH(NOW())</calculatedColumnFormula>
      <totalsRowFormula>SUM(B27:M27)/MONTH(NOW())</totalsRowFormula>
    </tableColumn>
  </tableColumns>
  <tableStyleInfo name="TableStyleMedium19" showFirstColumn="1" showLastColumn="0" showRowStripes="1" showColumnStripes="0"/>
  <extLst>
    <ext xmlns:x14="http://schemas.microsoft.com/office/spreadsheetml/2009/9/main" uri="{504A1905-F514-4f6f-8877-14C23A59335A}">
      <x14:table altText="Daily Living expenses" altTextSummary="List of daily living expenses by month such as, Groceries, Clothing, etc. "/>
    </ext>
  </extLst>
</table>
</file>

<file path=xl/tables/table11.xml><?xml version="1.0" encoding="utf-8"?>
<table xmlns="http://schemas.openxmlformats.org/spreadsheetml/2006/main" id="9" name="tblExpenseCategory_03" displayName="tblExpenseCategory_03" ref="A31:O34" headerRowCount="0" totalsRowCount="1">
  <tableColumns count="15">
    <tableColumn id="1" name="Children" totalsRowFunction="custom" headerRowDxfId="572" dataDxfId="571" totalsRowDxfId="570" dataCellStyle="Normal 2">
      <totalsRowFormula>UPPER("Total " &amp; A30)</totalsRowFormula>
    </tableColumn>
    <tableColumn id="2" name="jan" totalsRowFunction="custom" headerRowDxfId="569" dataDxfId="568" totalsRowDxfId="567" dataCellStyle="Normal 2">
      <calculatedColumnFormula>SUMIFS(RegisterChk[Withdrawal (-)],RegisterChk[Transaction Month],"=" &amp;B$2,RegisterChk[Transaction Year],"="&amp;$C$1,RegisterChk[Category],"=" &amp;$A30)</calculatedColumnFormula>
      <totalsRowFormula>SUM(tblExpenseCategory_03[jan])</totalsRowFormula>
    </tableColumn>
    <tableColumn id="3" name="feb" totalsRowFunction="custom" headerRowDxfId="566" dataDxfId="565" totalsRowDxfId="564" dataCellStyle="Normal 2">
      <calculatedColumnFormula>SUMIFS(RegisterChk[Withdrawal (-)],RegisterChk[Transaction Month],"=" &amp;C$2,RegisterChk[Transaction Year],"="&amp;$C$1,RegisterChk[Category],"=" &amp;$A30)</calculatedColumnFormula>
      <totalsRowFormula>SUM(tblExpenseCategory_03[feb])</totalsRowFormula>
    </tableColumn>
    <tableColumn id="4" name="mar" totalsRowFunction="custom" headerRowDxfId="563" dataDxfId="562" totalsRowDxfId="561" dataCellStyle="Normal 2">
      <calculatedColumnFormula>SUMIFS(RegisterChk[Withdrawal (-)],RegisterChk[Transaction Month],"=" &amp;D$2,RegisterChk[Transaction Year],"="&amp;$C$1,RegisterChk[Category],"=" &amp;$A30)</calculatedColumnFormula>
      <totalsRowFormula>SUM(tblExpenseCategory_03[mar])</totalsRowFormula>
    </tableColumn>
    <tableColumn id="5" name="apr" totalsRowFunction="custom" headerRowDxfId="560" dataDxfId="559" totalsRowDxfId="558" dataCellStyle="Normal 2">
      <calculatedColumnFormula>SUMIFS(RegisterChk[Withdrawal (-)],RegisterChk[Transaction Month],"=" &amp;E$2,RegisterChk[Transaction Year],"="&amp;$C$1,RegisterChk[Category],"=" &amp;$A30)</calculatedColumnFormula>
      <totalsRowFormula>SUM(tblExpenseCategory_03[apr])</totalsRowFormula>
    </tableColumn>
    <tableColumn id="6" name="may" totalsRowFunction="custom" headerRowDxfId="557" dataDxfId="556" totalsRowDxfId="555" dataCellStyle="Normal 2">
      <calculatedColumnFormula>SUMIFS(RegisterChk[Withdrawal (-)],RegisterChk[Transaction Month],"=" &amp;F$2,RegisterChk[Transaction Year],"="&amp;$C$1,RegisterChk[Category],"=" &amp;$A30)</calculatedColumnFormula>
      <totalsRowFormula>SUM(tblExpenseCategory_03[may])</totalsRowFormula>
    </tableColumn>
    <tableColumn id="7" name="jun" totalsRowFunction="custom" headerRowDxfId="554" dataDxfId="553" totalsRowDxfId="552" dataCellStyle="Normal 2">
      <calculatedColumnFormula>SUMIFS(RegisterChk[Withdrawal (-)],RegisterChk[Transaction Month],"=" &amp;G$2,RegisterChk[Transaction Year],"="&amp;$C$1,RegisterChk[Category],"=" &amp;$A30)</calculatedColumnFormula>
      <totalsRowFormula>SUM(tblExpenseCategory_03[jun])</totalsRowFormula>
    </tableColumn>
    <tableColumn id="8" name="jul" totalsRowFunction="custom" headerRowDxfId="551" dataDxfId="550" totalsRowDxfId="549" dataCellStyle="Normal 2">
      <calculatedColumnFormula>SUMIFS(RegisterChk[Withdrawal (-)],RegisterChk[Transaction Month],"=" &amp;H$2,RegisterChk[Transaction Year],"="&amp;$C$1,RegisterChk[Category],"=" &amp;$A30)</calculatedColumnFormula>
      <totalsRowFormula>SUM(tblExpenseCategory_03[jul])</totalsRowFormula>
    </tableColumn>
    <tableColumn id="9" name="aug" totalsRowFunction="custom" headerRowDxfId="548" dataDxfId="547" totalsRowDxfId="546" dataCellStyle="Normal 2">
      <calculatedColumnFormula>SUMIFS(RegisterChk[Withdrawal (-)],RegisterChk[Transaction Month],"=" &amp;I$2,RegisterChk[Transaction Year],"="&amp;$C$1,RegisterChk[Category],"=" &amp;$A30)</calculatedColumnFormula>
      <totalsRowFormula>SUM(tblExpenseCategory_03[aug])</totalsRowFormula>
    </tableColumn>
    <tableColumn id="10" name="sep" totalsRowFunction="custom" headerRowDxfId="545" dataDxfId="544" totalsRowDxfId="543" dataCellStyle="Normal 2">
      <calculatedColumnFormula>SUMIFS(RegisterChk[Withdrawal (-)],RegisterChk[Transaction Month],"=" &amp;J$2,RegisterChk[Transaction Year],"="&amp;$C$1,RegisterChk[Category],"=" &amp;$A30)</calculatedColumnFormula>
      <totalsRowFormula>SUM(tblExpenseCategory_03[sep])</totalsRowFormula>
    </tableColumn>
    <tableColumn id="11" name="oct" totalsRowFunction="custom" headerRowDxfId="542" dataDxfId="541" totalsRowDxfId="540" dataCellStyle="Normal 2">
      <calculatedColumnFormula>SUMIFS(RegisterChk[Withdrawal (-)],RegisterChk[Transaction Month],"=" &amp;K$2,RegisterChk[Transaction Year],"="&amp;$C$1,RegisterChk[Category],"=" &amp;$A30)</calculatedColumnFormula>
      <totalsRowFormula>SUM(tblExpenseCategory_03[oct])</totalsRowFormula>
    </tableColumn>
    <tableColumn id="12" name="nov" totalsRowFunction="custom" headerRowDxfId="539" dataDxfId="538" totalsRowDxfId="537" dataCellStyle="Normal 2">
      <calculatedColumnFormula>SUMIFS(RegisterChk[Withdrawal (-)],RegisterChk[Transaction Month],"=" &amp;L$2,RegisterChk[Transaction Year],"="&amp;$C$1,RegisterChk[Category],"=" &amp;$A30)</calculatedColumnFormula>
      <totalsRowFormula>SUM(tblExpenseCategory_03[nov])</totalsRowFormula>
    </tableColumn>
    <tableColumn id="13" name="dec" totalsRowFunction="custom" headerRowDxfId="536" dataDxfId="535" totalsRowDxfId="534" dataCellStyle="Normal 2">
      <calculatedColumnFormula>SUMIFS(RegisterChk[Withdrawal (-)],RegisterChk[Transaction Month],"=" &amp;M$2,RegisterChk[Transaction Year],"="&amp;$C$1,RegisterChk[Category],"=" &amp;$A30)</calculatedColumnFormula>
      <totalsRowFormula>SUM(tblExpenseCategory_03[dec])</totalsRowFormula>
    </tableColumn>
    <tableColumn id="14" name="year" totalsRowFunction="custom" headerRowDxfId="533" dataDxfId="532" totalsRowDxfId="531">
      <calculatedColumnFormula>SUM(tblExpenseCategory_03[[#This Row],[jan]:[dec]])</calculatedColumnFormula>
      <totalsRowFormula>SUM(tblExpenseCategory_03[year])</totalsRowFormula>
    </tableColumn>
    <tableColumn id="15" name="avg" totalsRowFunction="custom" headerRowDxfId="530" dataDxfId="529" totalsRowDxfId="528">
      <calculatedColumnFormula>SUM(B31:M31)/MONTH(NOW())</calculatedColumnFormula>
      <totalsRowFormula>SUM(B34:M34)/MONTH(NOW())</totalsRowFormula>
    </tableColumn>
  </tableColumns>
  <tableStyleInfo name="TableStyleMedium19" showFirstColumn="1" showLastColumn="0" showRowStripes="1" showColumnStripes="0"/>
  <extLst>
    <ext xmlns:x14="http://schemas.microsoft.com/office/spreadsheetml/2009/9/main" uri="{504A1905-F514-4f6f-8877-14C23A59335A}">
      <x14:table altText="Children expenses" altTextSummary="List of your children's expenses by month such as School Supplies, Clothing, School Lunch, etc."/>
    </ext>
  </extLst>
</table>
</file>

<file path=xl/tables/table12.xml><?xml version="1.0" encoding="utf-8"?>
<table xmlns="http://schemas.openxmlformats.org/spreadsheetml/2006/main" id="13" name="tblExpenseCategory_04" displayName="tblExpenseCategory_04" ref="A38:O41" headerRowCount="0" totalsRowCount="1">
  <tableColumns count="15">
    <tableColumn id="1" name="Transportation" totalsRowFunction="custom" headerRowDxfId="527" dataDxfId="526" totalsRowDxfId="525" dataCellStyle="Normal 2">
      <totalsRowFormula>UPPER("Total " &amp; A37)</totalsRowFormula>
    </tableColumn>
    <tableColumn id="2" name="jan" totalsRowFunction="custom" headerRowDxfId="524" totalsRowDxfId="523">
      <calculatedColumnFormula>SUMIFS(RegisterChk[Withdrawal (-)],RegisterChk[Transaction Month],"=" &amp;B$2,RegisterChk[Transaction Year],"="&amp;$C$1,RegisterChk[Category],"=" &amp;$A37)</calculatedColumnFormula>
      <totalsRowFormula>SUM(tblExpenseCategory_04[jan])</totalsRowFormula>
    </tableColumn>
    <tableColumn id="3" name="feb" totalsRowFunction="custom" headerRowDxfId="522" totalsRowDxfId="521">
      <calculatedColumnFormula>SUMIFS(RegisterChk[Withdrawal (-)],RegisterChk[Transaction Month],"=" &amp;C$2,RegisterChk[Transaction Year],"="&amp;$C$1,RegisterChk[Category],"=" &amp;$A37)</calculatedColumnFormula>
      <totalsRowFormula>SUM(tblExpenseCategory_04[feb])</totalsRowFormula>
    </tableColumn>
    <tableColumn id="4" name="mar" totalsRowFunction="custom" headerRowDxfId="520" totalsRowDxfId="519">
      <calculatedColumnFormula>SUMIFS(RegisterChk[Withdrawal (-)],RegisterChk[Transaction Month],"=" &amp;D$2,RegisterChk[Transaction Year],"="&amp;$C$1,RegisterChk[Category],"=" &amp;$A37)</calculatedColumnFormula>
      <totalsRowFormula>SUM(tblExpenseCategory_04[mar])</totalsRowFormula>
    </tableColumn>
    <tableColumn id="5" name="apr" totalsRowFunction="custom" headerRowDxfId="518" totalsRowDxfId="517">
      <calculatedColumnFormula>SUMIFS(RegisterChk[Withdrawal (-)],RegisterChk[Transaction Month],"=" &amp;E$2,RegisterChk[Transaction Year],"="&amp;$C$1,RegisterChk[Category],"=" &amp;$A37)</calculatedColumnFormula>
      <totalsRowFormula>SUM(tblExpenseCategory_04[apr])</totalsRowFormula>
    </tableColumn>
    <tableColumn id="6" name="may" totalsRowFunction="custom" headerRowDxfId="516" totalsRowDxfId="515">
      <calculatedColumnFormula>SUMIFS(RegisterChk[Withdrawal (-)],RegisterChk[Transaction Month],"=" &amp;F$2,RegisterChk[Transaction Year],"="&amp;$C$1,RegisterChk[Category],"=" &amp;$A37)</calculatedColumnFormula>
      <totalsRowFormula>SUM(tblExpenseCategory_04[may])</totalsRowFormula>
    </tableColumn>
    <tableColumn id="7" name="jun" totalsRowFunction="custom" headerRowDxfId="514" totalsRowDxfId="513">
      <calculatedColumnFormula>SUMIFS(RegisterChk[Withdrawal (-)],RegisterChk[Transaction Month],"=" &amp;G$2,RegisterChk[Transaction Year],"="&amp;$C$1,RegisterChk[Category],"=" &amp;$A37)</calculatedColumnFormula>
      <totalsRowFormula>SUM(tblExpenseCategory_04[jun])</totalsRowFormula>
    </tableColumn>
    <tableColumn id="8" name="jul" totalsRowFunction="custom" headerRowDxfId="512" totalsRowDxfId="511">
      <calculatedColumnFormula>SUMIFS(RegisterChk[Withdrawal (-)],RegisterChk[Transaction Month],"=" &amp;H$2,RegisterChk[Transaction Year],"="&amp;$C$1,RegisterChk[Category],"=" &amp;$A37)</calculatedColumnFormula>
      <totalsRowFormula>SUM(tblExpenseCategory_04[jul])</totalsRowFormula>
    </tableColumn>
    <tableColumn id="9" name="aug" totalsRowFunction="custom" headerRowDxfId="510" totalsRowDxfId="509">
      <calculatedColumnFormula>SUMIFS(RegisterChk[Withdrawal (-)],RegisterChk[Transaction Month],"=" &amp;I$2,RegisterChk[Transaction Year],"="&amp;$C$1,RegisterChk[Category],"=" &amp;$A37)</calculatedColumnFormula>
      <totalsRowFormula>SUM(tblExpenseCategory_04[aug])</totalsRowFormula>
    </tableColumn>
    <tableColumn id="10" name="sep" totalsRowFunction="custom" headerRowDxfId="508" totalsRowDxfId="507">
      <calculatedColumnFormula>SUMIFS(RegisterChk[Withdrawal (-)],RegisterChk[Transaction Month],"=" &amp;J$2,RegisterChk[Transaction Year],"="&amp;$C$1,RegisterChk[Category],"=" &amp;$A37)</calculatedColumnFormula>
      <totalsRowFormula>SUM(tblExpenseCategory_04[sep])</totalsRowFormula>
    </tableColumn>
    <tableColumn id="11" name="oct" totalsRowFunction="custom" headerRowDxfId="506" totalsRowDxfId="505">
      <calculatedColumnFormula>SUMIFS(RegisterChk[Withdrawal (-)],RegisterChk[Transaction Month],"=" &amp;K$2,RegisterChk[Transaction Year],"="&amp;$C$1,RegisterChk[Category],"=" &amp;$A37)</calculatedColumnFormula>
      <totalsRowFormula>SUM(tblExpenseCategory_04[oct])</totalsRowFormula>
    </tableColumn>
    <tableColumn id="12" name="nov" totalsRowFunction="custom" headerRowDxfId="504" totalsRowDxfId="503">
      <calculatedColumnFormula>SUMIFS(RegisterChk[Withdrawal (-)],RegisterChk[Transaction Month],"=" &amp;L$2,RegisterChk[Transaction Year],"="&amp;$C$1,RegisterChk[Category],"=" &amp;$A37)</calculatedColumnFormula>
      <totalsRowFormula>SUM(tblExpenseCategory_04[nov])</totalsRowFormula>
    </tableColumn>
    <tableColumn id="13" name="dec" totalsRowFunction="custom" headerRowDxfId="502" totalsRowDxfId="501">
      <calculatedColumnFormula>SUMIFS(RegisterChk[Withdrawal (-)],RegisterChk[Transaction Month],"=" &amp;M$2,RegisterChk[Transaction Year],"="&amp;$C$1,RegisterChk[Category],"=" &amp;$A37)</calculatedColumnFormula>
      <totalsRowFormula>SUM(tblExpenseCategory_04[dec])</totalsRowFormula>
    </tableColumn>
    <tableColumn id="14" name="year" totalsRowFunction="custom" headerRowDxfId="500" dataDxfId="499" totalsRowDxfId="498">
      <calculatedColumnFormula>SUM(tblExpenseCategory_04[[#This Row],[jan]:[dec]])</calculatedColumnFormula>
      <totalsRowFormula>SUM(tblExpenseCategory_04[year])</totalsRowFormula>
    </tableColumn>
    <tableColumn id="15" name="avg" totalsRowFunction="custom" headerRowDxfId="497" dataDxfId="496" totalsRowDxfId="495">
      <calculatedColumnFormula>SUM(B38:M38)/MONTH(NOW())</calculatedColumnFormula>
      <totalsRowFormula>SUM(B41:M41)/MONTH(NOW())</totalsRowFormula>
    </tableColumn>
  </tableColumns>
  <tableStyleInfo name="TableStyleMedium19" showFirstColumn="1" showLastColumn="0" showRowStripes="1" showColumnStripes="0"/>
  <extLst>
    <ext xmlns:x14="http://schemas.microsoft.com/office/spreadsheetml/2009/9/main" uri="{504A1905-F514-4f6f-8877-14C23A59335A}">
      <x14:table altText="Transportation expenses" altTextSummary="List of transportation expenses by month such as Vehicle Payments, Fuel, Repairs, etc."/>
    </ext>
  </extLst>
</table>
</file>

<file path=xl/tables/table13.xml><?xml version="1.0" encoding="utf-8"?>
<table xmlns="http://schemas.openxmlformats.org/spreadsheetml/2006/main" id="14" name="tblExpenseCategory_05" displayName="tblExpenseCategory_05" ref="A45:O48" headerRowCount="0" totalsRowCount="1">
  <tableColumns count="15">
    <tableColumn id="1" name="Health" totalsRowFunction="custom" headerRowDxfId="494" dataDxfId="493" totalsRowDxfId="492" dataCellStyle="Normal 2">
      <totalsRowFormula>UPPER("Total " &amp; A44)</totalsRowFormula>
    </tableColumn>
    <tableColumn id="2" name="jan" totalsRowFunction="custom" headerRowDxfId="491" dataDxfId="490" totalsRowDxfId="489">
      <calculatedColumnFormula>SUMIFS(RegisterChk[Withdrawal (-)],RegisterChk[Transaction Month],"=" &amp;B$2,RegisterChk[Transaction Year],"="&amp;$C$1,RegisterChk[Category],"=" &amp;$A44)</calculatedColumnFormula>
      <totalsRowFormula>SUM(tblExpenseCategory_05[jan])</totalsRowFormula>
    </tableColumn>
    <tableColumn id="3" name="feb" totalsRowFunction="custom" headerRowDxfId="488" dataDxfId="487" totalsRowDxfId="486">
      <calculatedColumnFormula>SUMIFS(RegisterChk[Withdrawal (-)],RegisterChk[Transaction Month],"=" &amp;C$2,RegisterChk[Transaction Year],"="&amp;$C$1,RegisterChk[Category],"=" &amp;$A44)</calculatedColumnFormula>
      <totalsRowFormula>SUM(tblExpenseCategory_05[feb])</totalsRowFormula>
    </tableColumn>
    <tableColumn id="4" name="mar" totalsRowFunction="custom" headerRowDxfId="485" dataDxfId="484" totalsRowDxfId="483">
      <calculatedColumnFormula>SUMIFS(RegisterChk[Withdrawal (-)],RegisterChk[Transaction Month],"=" &amp;D$2,RegisterChk[Transaction Year],"="&amp;$C$1,RegisterChk[Category],"=" &amp;$A44)</calculatedColumnFormula>
      <totalsRowFormula>SUM(tblExpenseCategory_05[mar])</totalsRowFormula>
    </tableColumn>
    <tableColumn id="5" name="apr" totalsRowFunction="custom" headerRowDxfId="482" dataDxfId="481" totalsRowDxfId="480">
      <calculatedColumnFormula>SUMIFS(RegisterChk[Withdrawal (-)],RegisterChk[Transaction Month],"=" &amp;E$2,RegisterChk[Transaction Year],"="&amp;$C$1,RegisterChk[Category],"=" &amp;$A44)</calculatedColumnFormula>
      <totalsRowFormula>SUM(tblExpenseCategory_05[apr])</totalsRowFormula>
    </tableColumn>
    <tableColumn id="6" name="may" totalsRowFunction="custom" headerRowDxfId="479" dataDxfId="478" totalsRowDxfId="477">
      <calculatedColumnFormula>SUMIFS(RegisterChk[Withdrawal (-)],RegisterChk[Transaction Month],"=" &amp;F$2,RegisterChk[Transaction Year],"="&amp;$C$1,RegisterChk[Category],"=" &amp;$A44)</calculatedColumnFormula>
      <totalsRowFormula>SUM(tblExpenseCategory_05[may])</totalsRowFormula>
    </tableColumn>
    <tableColumn id="7" name="jun" totalsRowFunction="custom" headerRowDxfId="476" dataDxfId="475" totalsRowDxfId="474">
      <calculatedColumnFormula>SUMIFS(RegisterChk[Withdrawal (-)],RegisterChk[Transaction Month],"=" &amp;G$2,RegisterChk[Transaction Year],"="&amp;$C$1,RegisterChk[Category],"=" &amp;$A44)</calculatedColumnFormula>
      <totalsRowFormula>SUM(tblExpenseCategory_05[jun])</totalsRowFormula>
    </tableColumn>
    <tableColumn id="8" name="jul" totalsRowFunction="custom" headerRowDxfId="473" dataDxfId="472" totalsRowDxfId="471">
      <calculatedColumnFormula>SUMIFS(RegisterChk[Withdrawal (-)],RegisterChk[Transaction Month],"=" &amp;H$2,RegisterChk[Transaction Year],"="&amp;$C$1,RegisterChk[Category],"=" &amp;$A44)</calculatedColumnFormula>
      <totalsRowFormula>SUM(tblExpenseCategory_05[jul])</totalsRowFormula>
    </tableColumn>
    <tableColumn id="9" name="aug" totalsRowFunction="custom" headerRowDxfId="470" dataDxfId="469" totalsRowDxfId="468">
      <calculatedColumnFormula>SUMIFS(RegisterChk[Withdrawal (-)],RegisterChk[Transaction Month],"=" &amp;I$2,RegisterChk[Transaction Year],"="&amp;$C$1,RegisterChk[Category],"=" &amp;$A44)</calculatedColumnFormula>
      <totalsRowFormula>SUM(tblExpenseCategory_05[aug])</totalsRowFormula>
    </tableColumn>
    <tableColumn id="10" name="sep" totalsRowFunction="custom" headerRowDxfId="467" dataDxfId="466" totalsRowDxfId="465">
      <calculatedColumnFormula>SUMIFS(RegisterChk[Withdrawal (-)],RegisterChk[Transaction Month],"=" &amp;J$2,RegisterChk[Transaction Year],"="&amp;$C$1,RegisterChk[Category],"=" &amp;$A44)</calculatedColumnFormula>
      <totalsRowFormula>SUM(tblExpenseCategory_05[sep])</totalsRowFormula>
    </tableColumn>
    <tableColumn id="11" name="oct" totalsRowFunction="custom" headerRowDxfId="464" dataDxfId="463" totalsRowDxfId="462">
      <calculatedColumnFormula>SUMIFS(RegisterChk[Withdrawal (-)],RegisterChk[Transaction Month],"=" &amp;K$2,RegisterChk[Transaction Year],"="&amp;$C$1,RegisterChk[Category],"=" &amp;$A44)</calculatedColumnFormula>
      <totalsRowFormula>SUM(tblExpenseCategory_05[oct])</totalsRowFormula>
    </tableColumn>
    <tableColumn id="12" name="nov" totalsRowFunction="custom" headerRowDxfId="461" dataDxfId="460" totalsRowDxfId="459">
      <calculatedColumnFormula>SUMIFS(RegisterChk[Withdrawal (-)],RegisterChk[Transaction Month],"=" &amp;L$2,RegisterChk[Transaction Year],"="&amp;$C$1,RegisterChk[Category],"=" &amp;$A44)</calculatedColumnFormula>
      <totalsRowFormula>SUM(tblExpenseCategory_05[nov])</totalsRowFormula>
    </tableColumn>
    <tableColumn id="13" name="dec" totalsRowFunction="custom" headerRowDxfId="458" dataDxfId="457" totalsRowDxfId="456">
      <calculatedColumnFormula>SUMIFS(RegisterChk[Withdrawal (-)],RegisterChk[Transaction Month],"=" &amp;M$2,RegisterChk[Transaction Year],"="&amp;$C$1,RegisterChk[Category],"=" &amp;$A44)</calculatedColumnFormula>
      <totalsRowFormula>SUM(tblExpenseCategory_05[dec])</totalsRowFormula>
    </tableColumn>
    <tableColumn id="14" name="year" totalsRowFunction="custom" headerRowDxfId="455" dataDxfId="454" totalsRowDxfId="453">
      <calculatedColumnFormula>SUM(tblExpenseCategory_05[[#This Row],[jan]:[dec]])</calculatedColumnFormula>
      <totalsRowFormula>SUM(tblExpenseCategory_05[year])</totalsRowFormula>
    </tableColumn>
    <tableColumn id="15" name="avg" totalsRowFunction="custom" headerRowDxfId="452" dataDxfId="451" totalsRowDxfId="450">
      <calculatedColumnFormula>SUM(B45:M45)/MONTH(NOW())</calculatedColumnFormula>
      <totalsRowFormula>SUM(B48:M48)/MONTH(NOW())</totalsRowFormula>
    </tableColumn>
  </tableColumns>
  <tableStyleInfo name="TableStyleMedium19" showFirstColumn="1" showLastColumn="0" showRowStripes="1" showColumnStripes="0"/>
  <extLst>
    <ext xmlns:x14="http://schemas.microsoft.com/office/spreadsheetml/2009/9/main" uri="{504A1905-F514-4f6f-8877-14C23A59335A}">
      <x14:table altTextSummary="List of health expenses by month such as Doctor/Dentist, Medicine/Drugs, etc."/>
    </ext>
  </extLst>
</table>
</file>

<file path=xl/tables/table14.xml><?xml version="1.0" encoding="utf-8"?>
<table xmlns="http://schemas.openxmlformats.org/spreadsheetml/2006/main" id="15" name="tblExpenseCategory_06" displayName="tblExpenseCategory_06" ref="A52:O55" headerRowCount="0" totalsRowCount="1">
  <tableColumns count="15">
    <tableColumn id="1" name="Insurance" totalsRowFunction="custom" headerRowDxfId="449" dataDxfId="448" totalsRowDxfId="447" dataCellStyle="Normal 2">
      <totalsRowFormula>UPPER("Total " &amp; A51)</totalsRowFormula>
    </tableColumn>
    <tableColumn id="2" name="jan" totalsRowFunction="custom" headerRowDxfId="446" totalsRowDxfId="445">
      <calculatedColumnFormula>SUMIFS(RegisterChk[Withdrawal (-)],RegisterChk[Transaction Month],"=" &amp;B$2,RegisterChk[Transaction Year],"="&amp;$C$1,RegisterChk[Category],"=" &amp;$A51)</calculatedColumnFormula>
      <totalsRowFormula>SUM(tblExpenseCategory_06[jan])</totalsRowFormula>
    </tableColumn>
    <tableColumn id="3" name="feb" totalsRowFunction="custom" headerRowDxfId="444" dataDxfId="443" totalsRowDxfId="442">
      <calculatedColumnFormula>SUMIFS(RegisterChk[Withdrawal (-)],RegisterChk[Transaction Month],"=" &amp;C$2,RegisterChk[Transaction Year],"="&amp;$C$1,RegisterChk[Category],"=" &amp;$A51)</calculatedColumnFormula>
      <totalsRowFormula>SUM(tblExpenseCategory_06[feb])</totalsRowFormula>
    </tableColumn>
    <tableColumn id="4" name="mar" totalsRowFunction="custom" headerRowDxfId="441" dataDxfId="440" totalsRowDxfId="439">
      <calculatedColumnFormula>SUMIFS(RegisterChk[Withdrawal (-)],RegisterChk[Transaction Month],"=" &amp;D$2,RegisterChk[Transaction Year],"="&amp;$C$1,RegisterChk[Category],"=" &amp;$A51)</calculatedColumnFormula>
      <totalsRowFormula>SUM(tblExpenseCategory_06[mar])</totalsRowFormula>
    </tableColumn>
    <tableColumn id="5" name="apr" totalsRowFunction="custom" headerRowDxfId="438" dataDxfId="437" totalsRowDxfId="436">
      <calculatedColumnFormula>SUMIFS(RegisterChk[Withdrawal (-)],RegisterChk[Transaction Month],"=" &amp;E$2,RegisterChk[Transaction Year],"="&amp;$C$1,RegisterChk[Category],"=" &amp;$A51)</calculatedColumnFormula>
      <totalsRowFormula>SUM(tblExpenseCategory_06[apr])</totalsRowFormula>
    </tableColumn>
    <tableColumn id="6" name="may" totalsRowFunction="custom" headerRowDxfId="435" dataDxfId="434" totalsRowDxfId="433">
      <calculatedColumnFormula>SUMIFS(RegisterChk[Withdrawal (-)],RegisterChk[Transaction Month],"=" &amp;F$2,RegisterChk[Transaction Year],"="&amp;$C$1,RegisterChk[Category],"=" &amp;$A51)</calculatedColumnFormula>
      <totalsRowFormula>SUM(tblExpenseCategory_06[may])</totalsRowFormula>
    </tableColumn>
    <tableColumn id="7" name="jun" totalsRowFunction="custom" headerRowDxfId="432" dataDxfId="431" totalsRowDxfId="430">
      <calculatedColumnFormula>SUMIFS(RegisterChk[Withdrawal (-)],RegisterChk[Transaction Month],"=" &amp;G$2,RegisterChk[Transaction Year],"="&amp;$C$1,RegisterChk[Category],"=" &amp;$A51)</calculatedColumnFormula>
      <totalsRowFormula>SUM(tblExpenseCategory_06[jun])</totalsRowFormula>
    </tableColumn>
    <tableColumn id="8" name="jul" totalsRowFunction="custom" headerRowDxfId="429" dataDxfId="428" totalsRowDxfId="427">
      <calculatedColumnFormula>SUMIFS(RegisterChk[Withdrawal (-)],RegisterChk[Transaction Month],"=" &amp;H$2,RegisterChk[Transaction Year],"="&amp;$C$1,RegisterChk[Category],"=" &amp;$A51)</calculatedColumnFormula>
      <totalsRowFormula>SUM(tblExpenseCategory_06[jul])</totalsRowFormula>
    </tableColumn>
    <tableColumn id="9" name="aug" totalsRowFunction="custom" headerRowDxfId="426" dataDxfId="425" totalsRowDxfId="424">
      <calculatedColumnFormula>SUMIFS(RegisterChk[Withdrawal (-)],RegisterChk[Transaction Month],"=" &amp;I$2,RegisterChk[Transaction Year],"="&amp;$C$1,RegisterChk[Category],"=" &amp;$A51)</calculatedColumnFormula>
      <totalsRowFormula>SUM(tblExpenseCategory_06[aug])</totalsRowFormula>
    </tableColumn>
    <tableColumn id="10" name="sep" totalsRowFunction="custom" headerRowDxfId="423" dataDxfId="422" totalsRowDxfId="421">
      <calculatedColumnFormula>SUMIFS(RegisterChk[Withdrawal (-)],RegisterChk[Transaction Month],"=" &amp;J$2,RegisterChk[Transaction Year],"="&amp;$C$1,RegisterChk[Category],"=" &amp;$A51)</calculatedColumnFormula>
      <totalsRowFormula>SUM(tblExpenseCategory_06[sep])</totalsRowFormula>
    </tableColumn>
    <tableColumn id="11" name="oct" totalsRowFunction="custom" headerRowDxfId="420" dataDxfId="419" totalsRowDxfId="418">
      <calculatedColumnFormula>SUMIFS(RegisterChk[Withdrawal (-)],RegisterChk[Transaction Month],"=" &amp;K$2,RegisterChk[Transaction Year],"="&amp;$C$1,RegisterChk[Category],"=" &amp;$A51)</calculatedColumnFormula>
      <totalsRowFormula>SUM(tblExpenseCategory_06[oct])</totalsRowFormula>
    </tableColumn>
    <tableColumn id="12" name="nov" totalsRowFunction="custom" headerRowDxfId="417" dataDxfId="416" totalsRowDxfId="415">
      <calculatedColumnFormula>SUMIFS(RegisterChk[Withdrawal (-)],RegisterChk[Transaction Month],"=" &amp;L$2,RegisterChk[Transaction Year],"="&amp;$C$1,RegisterChk[Category],"=" &amp;$A51)</calculatedColumnFormula>
      <totalsRowFormula>SUM(tblExpenseCategory_06[nov])</totalsRowFormula>
    </tableColumn>
    <tableColumn id="13" name="dec" totalsRowFunction="custom" headerRowDxfId="414" dataDxfId="413" totalsRowDxfId="412">
      <calculatedColumnFormula>SUMIFS(RegisterChk[Withdrawal (-)],RegisterChk[Transaction Month],"=" &amp;M$2,RegisterChk[Transaction Year],"="&amp;$C$1,RegisterChk[Category],"=" &amp;$A51)</calculatedColumnFormula>
      <totalsRowFormula>SUM(tblExpenseCategory_06[dec])</totalsRowFormula>
    </tableColumn>
    <tableColumn id="14" name="year" totalsRowFunction="custom" headerRowDxfId="411" dataDxfId="410" totalsRowDxfId="409">
      <calculatedColumnFormula>SUM(tblExpenseCategory_06[[#This Row],[jan]:[dec]])</calculatedColumnFormula>
      <totalsRowFormula>SUM(tblExpenseCategory_06[year])</totalsRowFormula>
    </tableColumn>
    <tableColumn id="15" name="avg" totalsRowFunction="custom" headerRowDxfId="408" dataDxfId="407" totalsRowDxfId="406">
      <calculatedColumnFormula>SUM(B52:M52)/MONTH(NOW())</calculatedColumnFormula>
      <totalsRowFormula>SUM(B55:M55)/MONTH(NOW())</totalsRowFormula>
    </tableColumn>
  </tableColumns>
  <tableStyleInfo name="TableStyleMedium19" showFirstColumn="1" showLastColumn="0" showRowStripes="1" showColumnStripes="0"/>
  <extLst>
    <ext xmlns:x14="http://schemas.microsoft.com/office/spreadsheetml/2009/9/main" uri="{504A1905-F514-4f6f-8877-14C23A59335A}">
      <x14:table altText="Insurance expenses" altTextSummary="List of insurance expenses by month such as Auto, Health, Life, etc."/>
    </ext>
  </extLst>
</table>
</file>

<file path=xl/tables/table15.xml><?xml version="1.0" encoding="utf-8"?>
<table xmlns="http://schemas.openxmlformats.org/spreadsheetml/2006/main" id="16" name="tblExpenseCategory_07" displayName="tblExpenseCategory_07" ref="A59:O62" headerRowCount="0" totalsRowCount="1">
  <tableColumns count="15">
    <tableColumn id="1" name="Education" totalsRowFunction="custom" headerRowDxfId="405" dataDxfId="404" totalsRowDxfId="403" dataCellStyle="Normal 2">
      <totalsRowFormula>UPPER("Total " &amp; A58)</totalsRowFormula>
    </tableColumn>
    <tableColumn id="2" name="jan" totalsRowFunction="custom" headerRowDxfId="402" dataDxfId="401" totalsRowDxfId="400">
      <calculatedColumnFormula>SUMIFS(RegisterChk[Withdrawal (-)],RegisterChk[Transaction Month],"=" &amp;B$2,RegisterChk[Transaction Year],"="&amp;$C$1,RegisterChk[Category],"=" &amp;$A58)</calculatedColumnFormula>
      <totalsRowFormula>SUM(tblExpenseCategory_07[jan])</totalsRowFormula>
    </tableColumn>
    <tableColumn id="3" name="feb" totalsRowFunction="custom" headerRowDxfId="399" dataDxfId="398" totalsRowDxfId="397">
      <calculatedColumnFormula>SUMIFS(RegisterChk[Withdrawal (-)],RegisterChk[Transaction Month],"=" &amp;C$2,RegisterChk[Transaction Year],"="&amp;$C$1,RegisterChk[Category],"=" &amp;$A58)</calculatedColumnFormula>
      <totalsRowFormula>SUM(tblExpenseCategory_07[feb])</totalsRowFormula>
    </tableColumn>
    <tableColumn id="4" name="mar" totalsRowFunction="custom" headerRowDxfId="396" dataDxfId="395" totalsRowDxfId="394">
      <calculatedColumnFormula>SUMIFS(RegisterChk[Withdrawal (-)],RegisterChk[Transaction Month],"=" &amp;D$2,RegisterChk[Transaction Year],"="&amp;$C$1,RegisterChk[Category],"=" &amp;$A58)</calculatedColumnFormula>
      <totalsRowFormula>SUM(tblExpenseCategory_07[mar])</totalsRowFormula>
    </tableColumn>
    <tableColumn id="5" name="apr" totalsRowFunction="custom" headerRowDxfId="393" dataDxfId="392" totalsRowDxfId="391">
      <calculatedColumnFormula>SUMIFS(RegisterChk[Withdrawal (-)],RegisterChk[Transaction Month],"=" &amp;E$2,RegisterChk[Transaction Year],"="&amp;$C$1,RegisterChk[Category],"=" &amp;$A58)</calculatedColumnFormula>
      <totalsRowFormula>SUM(tblExpenseCategory_07[apr])</totalsRowFormula>
    </tableColumn>
    <tableColumn id="6" name="may" totalsRowFunction="custom" headerRowDxfId="390" dataDxfId="389" totalsRowDxfId="388">
      <calculatedColumnFormula>SUMIFS(RegisterChk[Withdrawal (-)],RegisterChk[Transaction Month],"=" &amp;F$2,RegisterChk[Transaction Year],"="&amp;$C$1,RegisterChk[Category],"=" &amp;$A58)</calculatedColumnFormula>
      <totalsRowFormula>SUM(tblExpenseCategory_07[may])</totalsRowFormula>
    </tableColumn>
    <tableColumn id="7" name="jun" totalsRowFunction="custom" headerRowDxfId="387" dataDxfId="386" totalsRowDxfId="385">
      <calculatedColumnFormula>SUMIFS(RegisterChk[Withdrawal (-)],RegisterChk[Transaction Month],"=" &amp;G$2,RegisterChk[Transaction Year],"="&amp;$C$1,RegisterChk[Category],"=" &amp;$A58)</calculatedColumnFormula>
      <totalsRowFormula>SUM(tblExpenseCategory_07[jun])</totalsRowFormula>
    </tableColumn>
    <tableColumn id="8" name="jul" totalsRowFunction="custom" headerRowDxfId="384" dataDxfId="383" totalsRowDxfId="382">
      <calculatedColumnFormula>SUMIFS(RegisterChk[Withdrawal (-)],RegisterChk[Transaction Month],"=" &amp;H$2,RegisterChk[Transaction Year],"="&amp;$C$1,RegisterChk[Category],"=" &amp;$A58)</calculatedColumnFormula>
      <totalsRowFormula>SUM(tblExpenseCategory_07[jul])</totalsRowFormula>
    </tableColumn>
    <tableColumn id="9" name="aug" totalsRowFunction="custom" headerRowDxfId="381" dataDxfId="380" totalsRowDxfId="379">
      <calculatedColumnFormula>SUMIFS(RegisterChk[Withdrawal (-)],RegisterChk[Transaction Month],"=" &amp;I$2,RegisterChk[Transaction Year],"="&amp;$C$1,RegisterChk[Category],"=" &amp;$A58)</calculatedColumnFormula>
      <totalsRowFormula>SUM(tblExpenseCategory_07[aug])</totalsRowFormula>
    </tableColumn>
    <tableColumn id="10" name="sep" totalsRowFunction="custom" headerRowDxfId="378" dataDxfId="377" totalsRowDxfId="376">
      <calculatedColumnFormula>SUMIFS(RegisterChk[Withdrawal (-)],RegisterChk[Transaction Month],"=" &amp;J$2,RegisterChk[Transaction Year],"="&amp;$C$1,RegisterChk[Category],"=" &amp;$A58)</calculatedColumnFormula>
      <totalsRowFormula>SUM(tblExpenseCategory_07[sep])</totalsRowFormula>
    </tableColumn>
    <tableColumn id="11" name="oct" totalsRowFunction="custom" headerRowDxfId="375" dataDxfId="374" totalsRowDxfId="373">
      <calculatedColumnFormula>SUMIFS(RegisterChk[Withdrawal (-)],RegisterChk[Transaction Month],"=" &amp;K$2,RegisterChk[Transaction Year],"="&amp;$C$1,RegisterChk[Category],"=" &amp;$A58)</calculatedColumnFormula>
      <totalsRowFormula>SUM(tblExpenseCategory_07[oct])</totalsRowFormula>
    </tableColumn>
    <tableColumn id="12" name="nov" totalsRowFunction="custom" headerRowDxfId="372" dataDxfId="371" totalsRowDxfId="370">
      <calculatedColumnFormula>SUMIFS(RegisterChk[Withdrawal (-)],RegisterChk[Transaction Month],"=" &amp;L$2,RegisterChk[Transaction Year],"="&amp;$C$1,RegisterChk[Category],"=" &amp;$A58)</calculatedColumnFormula>
      <totalsRowFormula>SUM(tblExpenseCategory_07[nov])</totalsRowFormula>
    </tableColumn>
    <tableColumn id="13" name="dec" totalsRowFunction="custom" headerRowDxfId="369" dataDxfId="368" totalsRowDxfId="367">
      <calculatedColumnFormula>SUMIFS(RegisterChk[Withdrawal (-)],RegisterChk[Transaction Month],"=" &amp;M$2,RegisterChk[Transaction Year],"="&amp;$C$1,RegisterChk[Category],"=" &amp;$A58)</calculatedColumnFormula>
      <totalsRowFormula>SUM(tblExpenseCategory_07[dec])</totalsRowFormula>
    </tableColumn>
    <tableColumn id="14" name="year" totalsRowFunction="custom" headerRowDxfId="366" dataDxfId="365" totalsRowDxfId="364">
      <calculatedColumnFormula>SUM(tblExpenseCategory_07[[#This Row],[jan]:[dec]])</calculatedColumnFormula>
      <totalsRowFormula>SUM(tblExpenseCategory_07[year])</totalsRowFormula>
    </tableColumn>
    <tableColumn id="15" name="avg" totalsRowFunction="custom" headerRowDxfId="363" dataDxfId="362" totalsRowDxfId="361">
      <calculatedColumnFormula>SUM(B59:M59)/MONTH(NOW())</calculatedColumnFormula>
      <totalsRowFormula>SUM(B62:M62)/MONTH(NOW())</totalsRowFormula>
    </tableColumn>
  </tableColumns>
  <tableStyleInfo name="TableStyleMedium19" showFirstColumn="1" showLastColumn="0" showRowStripes="1" showColumnStripes="0"/>
  <extLst>
    <ext xmlns:x14="http://schemas.microsoft.com/office/spreadsheetml/2009/9/main" uri="{504A1905-F514-4f6f-8877-14C23A59335A}">
      <x14:table altText="Education expenses" altTextSummary="List of education expenses such as, Tuition, Books, etc."/>
    </ext>
  </extLst>
</table>
</file>

<file path=xl/tables/table16.xml><?xml version="1.0" encoding="utf-8"?>
<table xmlns="http://schemas.openxmlformats.org/spreadsheetml/2006/main" id="17" name="tblExpenseCategory_08" displayName="tblExpenseCategory_08" ref="A66:O69" headerRowCount="0" totalsRowCount="1">
  <tableColumns count="15">
    <tableColumn id="1" name="Charity" totalsRowFunction="custom" headerRowDxfId="360" dataDxfId="359" totalsRowDxfId="358" dataCellStyle="Normal 2">
      <totalsRowFormula>UPPER("Total " &amp; A65)</totalsRowFormula>
    </tableColumn>
    <tableColumn id="2" name="jan" totalsRowFunction="custom" headerRowDxfId="357" dataDxfId="356" totalsRowDxfId="355">
      <calculatedColumnFormula>SUMIFS(RegisterChk[Withdrawal (-)],RegisterChk[Transaction Month],"=" &amp;B$2,RegisterChk[Transaction Year],"="&amp;$C$1,RegisterChk[Category],"=" &amp;$A65)</calculatedColumnFormula>
      <totalsRowFormula>SUM(tblExpenseCategory_08[jan])</totalsRowFormula>
    </tableColumn>
    <tableColumn id="3" name="feb" totalsRowFunction="custom" headerRowDxfId="354" dataDxfId="353" totalsRowDxfId="352">
      <calculatedColumnFormula>SUMIFS(RegisterChk[Withdrawal (-)],RegisterChk[Transaction Month],"=" &amp;C$2,RegisterChk[Transaction Year],"="&amp;$C$1,RegisterChk[Category],"=" &amp;$A65)</calculatedColumnFormula>
      <totalsRowFormula>SUM(tblExpenseCategory_08[feb])</totalsRowFormula>
    </tableColumn>
    <tableColumn id="4" name="mar" totalsRowFunction="custom" headerRowDxfId="351" dataDxfId="350" totalsRowDxfId="349">
      <calculatedColumnFormula>SUMIFS(RegisterChk[Withdrawal (-)],RegisterChk[Transaction Month],"=" &amp;D$2,RegisterChk[Transaction Year],"="&amp;$C$1,RegisterChk[Category],"=" &amp;$A65)</calculatedColumnFormula>
      <totalsRowFormula>SUM(tblExpenseCategory_08[mar])</totalsRowFormula>
    </tableColumn>
    <tableColumn id="5" name="apr" totalsRowFunction="custom" headerRowDxfId="348" dataDxfId="347" totalsRowDxfId="346">
      <calculatedColumnFormula>SUMIFS(RegisterChk[Withdrawal (-)],RegisterChk[Transaction Month],"=" &amp;E$2,RegisterChk[Transaction Year],"="&amp;$C$1,RegisterChk[Category],"=" &amp;$A65)</calculatedColumnFormula>
      <totalsRowFormula>SUM(tblExpenseCategory_08[apr])</totalsRowFormula>
    </tableColumn>
    <tableColumn id="6" name="may" totalsRowFunction="custom" headerRowDxfId="345" dataDxfId="344" totalsRowDxfId="343">
      <calculatedColumnFormula>SUMIFS(RegisterChk[Withdrawal (-)],RegisterChk[Transaction Month],"=" &amp;F$2,RegisterChk[Transaction Year],"="&amp;$C$1,RegisterChk[Category],"=" &amp;$A65)</calculatedColumnFormula>
      <totalsRowFormula>SUM(tblExpenseCategory_08[may])</totalsRowFormula>
    </tableColumn>
    <tableColumn id="7" name="jun" totalsRowFunction="custom" headerRowDxfId="342" dataDxfId="341" totalsRowDxfId="340">
      <calculatedColumnFormula>SUMIFS(RegisterChk[Withdrawal (-)],RegisterChk[Transaction Month],"=" &amp;G$2,RegisterChk[Transaction Year],"="&amp;$C$1,RegisterChk[Category],"=" &amp;$A65)</calculatedColumnFormula>
      <totalsRowFormula>SUM(tblExpenseCategory_08[jun])</totalsRowFormula>
    </tableColumn>
    <tableColumn id="8" name="jul" totalsRowFunction="custom" headerRowDxfId="339" dataDxfId="338" totalsRowDxfId="337">
      <calculatedColumnFormula>SUMIFS(RegisterChk[Withdrawal (-)],RegisterChk[Transaction Month],"=" &amp;H$2,RegisterChk[Transaction Year],"="&amp;$C$1,RegisterChk[Category],"=" &amp;$A65)</calculatedColumnFormula>
      <totalsRowFormula>SUM(tblExpenseCategory_08[jul])</totalsRowFormula>
    </tableColumn>
    <tableColumn id="9" name="aug" totalsRowFunction="custom" headerRowDxfId="336" dataDxfId="335" totalsRowDxfId="334">
      <calculatedColumnFormula>SUMIFS(RegisterChk[Withdrawal (-)],RegisterChk[Transaction Month],"=" &amp;I$2,RegisterChk[Transaction Year],"="&amp;$C$1,RegisterChk[Category],"=" &amp;$A65)</calculatedColumnFormula>
      <totalsRowFormula>SUM(tblExpenseCategory_08[aug])</totalsRowFormula>
    </tableColumn>
    <tableColumn id="10" name="sep" totalsRowFunction="custom" headerRowDxfId="333" dataDxfId="332" totalsRowDxfId="331">
      <calculatedColumnFormula>SUMIFS(RegisterChk[Withdrawal (-)],RegisterChk[Transaction Month],"=" &amp;J$2,RegisterChk[Transaction Year],"="&amp;$C$1,RegisterChk[Category],"=" &amp;$A65)</calculatedColumnFormula>
      <totalsRowFormula>SUM(tblExpenseCategory_08[sep])</totalsRowFormula>
    </tableColumn>
    <tableColumn id="11" name="oct" totalsRowFunction="custom" headerRowDxfId="330" dataDxfId="329" totalsRowDxfId="328">
      <calculatedColumnFormula>SUMIFS(RegisterChk[Withdrawal (-)],RegisterChk[Transaction Month],"=" &amp;K$2,RegisterChk[Transaction Year],"="&amp;$C$1,RegisterChk[Category],"=" &amp;$A65)</calculatedColumnFormula>
      <totalsRowFormula>SUM(tblExpenseCategory_08[oct])</totalsRowFormula>
    </tableColumn>
    <tableColumn id="12" name="nov" totalsRowFunction="custom" headerRowDxfId="327" dataDxfId="326" totalsRowDxfId="325">
      <calculatedColumnFormula>SUMIFS(RegisterChk[Withdrawal (-)],RegisterChk[Transaction Month],"=" &amp;L$2,RegisterChk[Transaction Year],"="&amp;$C$1,RegisterChk[Category],"=" &amp;$A65)</calculatedColumnFormula>
      <totalsRowFormula>SUM(tblExpenseCategory_08[nov])</totalsRowFormula>
    </tableColumn>
    <tableColumn id="13" name="dec" totalsRowFunction="custom" headerRowDxfId="324" dataDxfId="323" totalsRowDxfId="322">
      <calculatedColumnFormula>SUMIFS(RegisterChk[Withdrawal (-)],RegisterChk[Transaction Month],"=" &amp;M$2,RegisterChk[Transaction Year],"="&amp;$C$1,RegisterChk[Category],"=" &amp;$A65)</calculatedColumnFormula>
      <totalsRowFormula>SUM(tblExpenseCategory_08[dec])</totalsRowFormula>
    </tableColumn>
    <tableColumn id="14" name="year" totalsRowFunction="custom" headerRowDxfId="321" dataDxfId="320" totalsRowDxfId="319">
      <calculatedColumnFormula>SUM(tblExpenseCategory_08[[#This Row],[jan]:[dec]])</calculatedColumnFormula>
      <totalsRowFormula>SUM(tblExpenseCategory_08[year])</totalsRowFormula>
    </tableColumn>
    <tableColumn id="15" name="avg" totalsRowFunction="custom" headerRowDxfId="318" dataDxfId="317" totalsRowDxfId="316">
      <calculatedColumnFormula>SUM(B66:M66)/MONTH(NOW())</calculatedColumnFormula>
      <totalsRowFormula>SUM(B69:M69)/MONTH(NOW())</totalsRowFormula>
    </tableColumn>
  </tableColumns>
  <tableStyleInfo name="TableStyleMedium19" showFirstColumn="1" showLastColumn="0" showRowStripes="1" showColumnStripes="0"/>
  <extLst>
    <ext xmlns:x14="http://schemas.microsoft.com/office/spreadsheetml/2009/9/main" uri="{504A1905-F514-4f6f-8877-14C23A59335A}">
      <x14:table altText="Charity expenses" altTextSummary="List of charity expenses by month such as, Gifts, Charitable Donations, etc. "/>
    </ext>
  </extLst>
</table>
</file>

<file path=xl/tables/table17.xml><?xml version="1.0" encoding="utf-8"?>
<table xmlns="http://schemas.openxmlformats.org/spreadsheetml/2006/main" id="18" name="tblExpenseCategory_09" displayName="tblExpenseCategory_09" ref="A73:O76" headerRowCount="0" totalsRowCount="1">
  <tableColumns count="15">
    <tableColumn id="1" name="Savings" totalsRowFunction="custom" headerRowDxfId="315" dataDxfId="314" totalsRowDxfId="313" dataCellStyle="Normal 2">
      <totalsRowFormula>UPPER("Total " &amp; A72)</totalsRowFormula>
    </tableColumn>
    <tableColumn id="2" name="jan" totalsRowFunction="custom" headerRowDxfId="312" dataDxfId="311" totalsRowDxfId="310">
      <calculatedColumnFormula>SUMIFS(RegisterChk[Withdrawal (-)],RegisterChk[Transaction Month],"=" &amp;B$2,RegisterChk[Transaction Year],"="&amp;$C$1,RegisterChk[Category],"=" &amp;$A72)</calculatedColumnFormula>
      <totalsRowFormula>SUM(tblExpenseCategory_09[jan])</totalsRowFormula>
    </tableColumn>
    <tableColumn id="3" name="feb" totalsRowFunction="custom" headerRowDxfId="309" dataDxfId="308" totalsRowDxfId="307">
      <calculatedColumnFormula>SUMIFS(RegisterChk[Withdrawal (-)],RegisterChk[Transaction Month],"=" &amp;C$2,RegisterChk[Transaction Year],"="&amp;$C$1,RegisterChk[Category],"=" &amp;$A72)</calculatedColumnFormula>
      <totalsRowFormula>SUM(tblExpenseCategory_09[feb])</totalsRowFormula>
    </tableColumn>
    <tableColumn id="4" name="mar" totalsRowFunction="custom" headerRowDxfId="306" dataDxfId="305" totalsRowDxfId="304">
      <calculatedColumnFormula>SUMIFS(RegisterChk[Withdrawal (-)],RegisterChk[Transaction Month],"=" &amp;D$2,RegisterChk[Transaction Year],"="&amp;$C$1,RegisterChk[Category],"=" &amp;$A72)</calculatedColumnFormula>
      <totalsRowFormula>SUM(tblExpenseCategory_09[mar])</totalsRowFormula>
    </tableColumn>
    <tableColumn id="5" name="apr" totalsRowFunction="custom" headerRowDxfId="303" dataDxfId="302" totalsRowDxfId="301">
      <calculatedColumnFormula>SUMIFS(RegisterChk[Withdrawal (-)],RegisterChk[Transaction Month],"=" &amp;E$2,RegisterChk[Transaction Year],"="&amp;$C$1,RegisterChk[Category],"=" &amp;$A72)</calculatedColumnFormula>
      <totalsRowFormula>SUM(tblExpenseCategory_09[apr])</totalsRowFormula>
    </tableColumn>
    <tableColumn id="6" name="may" totalsRowFunction="custom" headerRowDxfId="300" dataDxfId="299" totalsRowDxfId="298">
      <calculatedColumnFormula>SUMIFS(RegisterChk[Withdrawal (-)],RegisterChk[Transaction Month],"=" &amp;F$2,RegisterChk[Transaction Year],"="&amp;$C$1,RegisterChk[Category],"=" &amp;$A72)</calculatedColumnFormula>
      <totalsRowFormula>SUM(tblExpenseCategory_09[may])</totalsRowFormula>
    </tableColumn>
    <tableColumn id="7" name="jun" totalsRowFunction="custom" headerRowDxfId="297" dataDxfId="296" totalsRowDxfId="295">
      <calculatedColumnFormula>SUMIFS(RegisterChk[Withdrawal (-)],RegisterChk[Transaction Month],"=" &amp;G$2,RegisterChk[Transaction Year],"="&amp;$C$1,RegisterChk[Category],"=" &amp;$A72)</calculatedColumnFormula>
      <totalsRowFormula>SUM(tblExpenseCategory_09[jun])</totalsRowFormula>
    </tableColumn>
    <tableColumn id="8" name="jul" totalsRowFunction="custom" headerRowDxfId="294" dataDxfId="293" totalsRowDxfId="292">
      <calculatedColumnFormula>SUMIFS(RegisterChk[Withdrawal (-)],RegisterChk[Transaction Month],"=" &amp;H$2,RegisterChk[Transaction Year],"="&amp;$C$1,RegisterChk[Category],"=" &amp;$A72)</calculatedColumnFormula>
      <totalsRowFormula>SUM(tblExpenseCategory_09[jul])</totalsRowFormula>
    </tableColumn>
    <tableColumn id="9" name="aug" totalsRowFunction="custom" headerRowDxfId="291" dataDxfId="290" totalsRowDxfId="289">
      <calculatedColumnFormula>SUMIFS(RegisterChk[Withdrawal (-)],RegisterChk[Transaction Month],"=" &amp;I$2,RegisterChk[Transaction Year],"="&amp;$C$1,RegisterChk[Category],"=" &amp;$A72)</calculatedColumnFormula>
      <totalsRowFormula>SUM(tblExpenseCategory_09[aug])</totalsRowFormula>
    </tableColumn>
    <tableColumn id="10" name="sep" totalsRowFunction="custom" headerRowDxfId="288" dataDxfId="287" totalsRowDxfId="286">
      <calculatedColumnFormula>SUMIFS(RegisterChk[Withdrawal (-)],RegisterChk[Transaction Month],"=" &amp;J$2,RegisterChk[Transaction Year],"="&amp;$C$1,RegisterChk[Category],"=" &amp;$A72)</calculatedColumnFormula>
      <totalsRowFormula>SUM(tblExpenseCategory_09[sep])</totalsRowFormula>
    </tableColumn>
    <tableColumn id="11" name="oct" totalsRowFunction="custom" headerRowDxfId="285" dataDxfId="284" totalsRowDxfId="283">
      <calculatedColumnFormula>SUMIFS(RegisterChk[Withdrawal (-)],RegisterChk[Transaction Month],"=" &amp;K$2,RegisterChk[Transaction Year],"="&amp;$C$1,RegisterChk[Category],"=" &amp;$A72)</calculatedColumnFormula>
      <totalsRowFormula>SUM(tblExpenseCategory_09[oct])</totalsRowFormula>
    </tableColumn>
    <tableColumn id="12" name="nov" totalsRowFunction="custom" headerRowDxfId="282" dataDxfId="281" totalsRowDxfId="280">
      <calculatedColumnFormula>SUMIFS(RegisterChk[Withdrawal (-)],RegisterChk[Transaction Month],"=" &amp;L$2,RegisterChk[Transaction Year],"="&amp;$C$1,RegisterChk[Category],"=" &amp;$A72)</calculatedColumnFormula>
      <totalsRowFormula>SUM(tblExpenseCategory_09[nov])</totalsRowFormula>
    </tableColumn>
    <tableColumn id="13" name="dec" totalsRowFunction="custom" headerRowDxfId="279" dataDxfId="278" totalsRowDxfId="277">
      <calculatedColumnFormula>SUMIFS(RegisterChk[Withdrawal (-)],RegisterChk[Transaction Month],"=" &amp;M$2,RegisterChk[Transaction Year],"="&amp;$C$1,RegisterChk[Category],"=" &amp;$A72)</calculatedColumnFormula>
      <totalsRowFormula>SUM(tblExpenseCategory_09[dec])</totalsRowFormula>
    </tableColumn>
    <tableColumn id="14" name="year" totalsRowFunction="custom" headerRowDxfId="276" dataDxfId="275" totalsRowDxfId="274">
      <calculatedColumnFormula>SUM(tblExpenseCategory_09[[#This Row],[jan]:[dec]])</calculatedColumnFormula>
      <totalsRowFormula>SUM(tblExpenseCategory_09[year])</totalsRowFormula>
    </tableColumn>
    <tableColumn id="15" name="avg" totalsRowFunction="custom" headerRowDxfId="273" dataDxfId="272" totalsRowDxfId="271">
      <calculatedColumnFormula>SUM(B73:M73)/MONTH(NOW())</calculatedColumnFormula>
      <totalsRowFormula>SUM(B76:M76)/MONTH(NOW())</totalsRowFormula>
    </tableColumn>
  </tableColumns>
  <tableStyleInfo name="TableStyleMedium19" showFirstColumn="1" showLastColumn="0" showRowStripes="1" showColumnStripes="0"/>
  <extLst>
    <ext xmlns:x14="http://schemas.microsoft.com/office/spreadsheetml/2009/9/main" uri="{504A1905-F514-4f6f-8877-14C23A59335A}">
      <x14:table altText="Savings" altTextSummary="List of savings by month such as, Emergency Fund, Retirement, etc."/>
    </ext>
  </extLst>
</table>
</file>

<file path=xl/tables/table18.xml><?xml version="1.0" encoding="utf-8"?>
<table xmlns="http://schemas.openxmlformats.org/spreadsheetml/2006/main" id="19" name="tblExpenseCategory_10" displayName="tblExpenseCategory_10" ref="A80:O83" headerRowCount="0" totalsRowCount="1">
  <tableColumns count="15">
    <tableColumn id="1" name="Obligations" totalsRowFunction="custom" headerRowDxfId="270" dataDxfId="269" totalsRowDxfId="268" dataCellStyle="Normal 2">
      <totalsRowFormula>UPPER("Total " &amp; A79)</totalsRowFormula>
    </tableColumn>
    <tableColumn id="2" name="jan" totalsRowFunction="custom" headerRowDxfId="267" dataDxfId="266" totalsRowDxfId="265">
      <calculatedColumnFormula>SUMIFS(RegisterChk[Withdrawal (-)],RegisterChk[Transaction Month],"=" &amp;B$2,RegisterChk[Transaction Year],"="&amp;$C$1,RegisterChk[Category],"=" &amp;$A79)</calculatedColumnFormula>
      <totalsRowFormula>SUM(tblExpenseCategory_10[jan])</totalsRowFormula>
    </tableColumn>
    <tableColumn id="3" name="feb" totalsRowFunction="custom" headerRowDxfId="264" dataDxfId="263" totalsRowDxfId="262">
      <calculatedColumnFormula>SUMIFS(RegisterChk[Withdrawal (-)],RegisterChk[Transaction Month],"=" &amp;C$2,RegisterChk[Transaction Year],"="&amp;$C$1,RegisterChk[Category],"=" &amp;$A79)</calculatedColumnFormula>
      <totalsRowFormula>SUM(tblExpenseCategory_10[feb])</totalsRowFormula>
    </tableColumn>
    <tableColumn id="4" name="mar" totalsRowFunction="custom" headerRowDxfId="261" dataDxfId="260" totalsRowDxfId="259">
      <calculatedColumnFormula>SUMIFS(RegisterChk[Withdrawal (-)],RegisterChk[Transaction Month],"=" &amp;D$2,RegisterChk[Transaction Year],"="&amp;$C$1,RegisterChk[Category],"=" &amp;$A79)</calculatedColumnFormula>
      <totalsRowFormula>SUM(tblExpenseCategory_10[mar])</totalsRowFormula>
    </tableColumn>
    <tableColumn id="5" name="apr" totalsRowFunction="custom" headerRowDxfId="258" dataDxfId="257" totalsRowDxfId="256">
      <calculatedColumnFormula>SUMIFS(RegisterChk[Withdrawal (-)],RegisterChk[Transaction Month],"=" &amp;E$2,RegisterChk[Transaction Year],"="&amp;$C$1,RegisterChk[Category],"=" &amp;$A79)</calculatedColumnFormula>
      <totalsRowFormula>SUM(tblExpenseCategory_10[apr])</totalsRowFormula>
    </tableColumn>
    <tableColumn id="6" name="may" totalsRowFunction="custom" headerRowDxfId="255" dataDxfId="254" totalsRowDxfId="253">
      <calculatedColumnFormula>SUMIFS(RegisterChk[Withdrawal (-)],RegisterChk[Transaction Month],"=" &amp;F$2,RegisterChk[Transaction Year],"="&amp;$C$1,RegisterChk[Category],"=" &amp;$A79)</calculatedColumnFormula>
      <totalsRowFormula>SUM(tblExpenseCategory_10[may])</totalsRowFormula>
    </tableColumn>
    <tableColumn id="7" name="jun" totalsRowFunction="custom" headerRowDxfId="252" dataDxfId="251" totalsRowDxfId="250">
      <calculatedColumnFormula>SUMIFS(RegisterChk[Withdrawal (-)],RegisterChk[Transaction Month],"=" &amp;G$2,RegisterChk[Transaction Year],"="&amp;$C$1,RegisterChk[Category],"=" &amp;$A79)</calculatedColumnFormula>
      <totalsRowFormula>SUM(tblExpenseCategory_10[jun])</totalsRowFormula>
    </tableColumn>
    <tableColumn id="8" name="jul" totalsRowFunction="custom" headerRowDxfId="249" dataDxfId="248" totalsRowDxfId="247">
      <calculatedColumnFormula>SUMIFS(RegisterChk[Withdrawal (-)],RegisterChk[Transaction Month],"=" &amp;H$2,RegisterChk[Transaction Year],"="&amp;$C$1,RegisterChk[Category],"=" &amp;$A79)</calculatedColumnFormula>
      <totalsRowFormula>SUM(tblExpenseCategory_10[jul])</totalsRowFormula>
    </tableColumn>
    <tableColumn id="9" name="aug" totalsRowFunction="custom" headerRowDxfId="246" dataDxfId="245" totalsRowDxfId="244">
      <calculatedColumnFormula>SUMIFS(RegisterChk[Withdrawal (-)],RegisterChk[Transaction Month],"=" &amp;I$2,RegisterChk[Transaction Year],"="&amp;$C$1,RegisterChk[Category],"=" &amp;$A79)</calculatedColumnFormula>
      <totalsRowFormula>SUM(tblExpenseCategory_10[aug])</totalsRowFormula>
    </tableColumn>
    <tableColumn id="10" name="sep" totalsRowFunction="custom" headerRowDxfId="243" dataDxfId="242" totalsRowDxfId="241">
      <calculatedColumnFormula>SUMIFS(RegisterChk[Withdrawal (-)],RegisterChk[Transaction Month],"=" &amp;J$2,RegisterChk[Transaction Year],"="&amp;$C$1,RegisterChk[Category],"=" &amp;$A79)</calculatedColumnFormula>
      <totalsRowFormula>SUM(tblExpenseCategory_10[sep])</totalsRowFormula>
    </tableColumn>
    <tableColumn id="11" name="oct" totalsRowFunction="custom" headerRowDxfId="240" dataDxfId="239" totalsRowDxfId="238">
      <calculatedColumnFormula>SUMIFS(RegisterChk[Withdrawal (-)],RegisterChk[Transaction Month],"=" &amp;K$2,RegisterChk[Transaction Year],"="&amp;$C$1,RegisterChk[Category],"=" &amp;$A79)</calculatedColumnFormula>
      <totalsRowFormula>SUM(tblExpenseCategory_10[oct])</totalsRowFormula>
    </tableColumn>
    <tableColumn id="12" name="nov" totalsRowFunction="custom" headerRowDxfId="237" dataDxfId="236" totalsRowDxfId="235">
      <calculatedColumnFormula>SUMIFS(RegisterChk[Withdrawal (-)],RegisterChk[Transaction Month],"=" &amp;L$2,RegisterChk[Transaction Year],"="&amp;$C$1,RegisterChk[Category],"=" &amp;$A79)</calculatedColumnFormula>
      <totalsRowFormula>SUM(tblExpenseCategory_10[nov])</totalsRowFormula>
    </tableColumn>
    <tableColumn id="13" name="dec" totalsRowFunction="custom" headerRowDxfId="234" dataDxfId="233" totalsRowDxfId="232">
      <calculatedColumnFormula>SUMIFS(RegisterChk[Withdrawal (-)],RegisterChk[Transaction Month],"=" &amp;M$2,RegisterChk[Transaction Year],"="&amp;$C$1,RegisterChk[Category],"=" &amp;$A79)</calculatedColumnFormula>
      <totalsRowFormula>SUM(tblExpenseCategory_10[dec])</totalsRowFormula>
    </tableColumn>
    <tableColumn id="14" name="year" totalsRowFunction="custom" headerRowDxfId="231" dataDxfId="230" totalsRowDxfId="229">
      <calculatedColumnFormula>SUM(tblExpenseCategory_10[[#This Row],[jan]:[dec]])</calculatedColumnFormula>
      <totalsRowFormula>SUM(tblExpenseCategory_10[year])</totalsRowFormula>
    </tableColumn>
    <tableColumn id="15" name="avg" totalsRowFunction="custom" headerRowDxfId="228" dataDxfId="227" totalsRowDxfId="226">
      <calculatedColumnFormula>SUM(B80:M80)/MONTH(NOW())</calculatedColumnFormula>
      <totalsRowFormula>SUM(B83:M83)/MONTH(NOW())</totalsRowFormula>
    </tableColumn>
  </tableColumns>
  <tableStyleInfo name="TableStyleMedium19" showFirstColumn="1" showLastColumn="0" showRowStripes="1" showColumnStripes="0"/>
  <extLst>
    <ext xmlns:x14="http://schemas.microsoft.com/office/spreadsheetml/2009/9/main" uri="{504A1905-F514-4f6f-8877-14C23A59335A}">
      <x14:table altText="Obligation expenses" altTextSummary="List obligation expenses by month such as, Credit Card #1, Federal Taxes, Student Loans, etc."/>
    </ext>
  </extLst>
</table>
</file>

<file path=xl/tables/table19.xml><?xml version="1.0" encoding="utf-8"?>
<table xmlns="http://schemas.openxmlformats.org/spreadsheetml/2006/main" id="20" name="tblExpenseCategory_11" displayName="tblExpenseCategory_11" ref="A87:O90" headerRowCount="0" totalsRowCount="1">
  <tableColumns count="15">
    <tableColumn id="1" name=" " totalsRowFunction="custom" headerRowDxfId="225" dataDxfId="224" totalsRowDxfId="223" dataCellStyle="Normal 2">
      <totalsRowFormula>UPPER("Total " &amp; A86)</totalsRowFormula>
    </tableColumn>
    <tableColumn id="2" name="jan" totalsRowFunction="custom" headerRowDxfId="222" dataDxfId="221" totalsRowDxfId="220">
      <calculatedColumnFormula>SUMIFS(RegisterChk[Withdrawal (-)],RegisterChk[Transaction Month],"=" &amp;B$2,RegisterChk[Transaction Year],"="&amp;$C$1,RegisterChk[Category],"=" &amp;$A86)</calculatedColumnFormula>
      <totalsRowFormula>SUM(tblExpenseCategory_11[jan])</totalsRowFormula>
    </tableColumn>
    <tableColumn id="3" name="feb" totalsRowFunction="custom" headerRowDxfId="219" dataDxfId="218" totalsRowDxfId="217">
      <calculatedColumnFormula>SUMIFS(RegisterChk[Withdrawal (-)],RegisterChk[Transaction Month],"=" &amp;C$2,RegisterChk[Transaction Year],"="&amp;$C$1,RegisterChk[Category],"=" &amp;$A86)</calculatedColumnFormula>
      <totalsRowFormula>SUM(tblExpenseCategory_11[feb])</totalsRowFormula>
    </tableColumn>
    <tableColumn id="4" name="mar" totalsRowFunction="custom" headerRowDxfId="216" dataDxfId="215" totalsRowDxfId="214">
      <calculatedColumnFormula>SUMIFS(RegisterChk[Withdrawal (-)],RegisterChk[Transaction Month],"=" &amp;D$2,RegisterChk[Transaction Year],"="&amp;$C$1,RegisterChk[Category],"=" &amp;$A86)</calculatedColumnFormula>
      <totalsRowFormula>SUM(tblExpenseCategory_11[mar])</totalsRowFormula>
    </tableColumn>
    <tableColumn id="5" name="apr" totalsRowFunction="custom" headerRowDxfId="213" dataDxfId="212" totalsRowDxfId="211">
      <calculatedColumnFormula>SUMIFS(RegisterChk[Withdrawal (-)],RegisterChk[Transaction Month],"=" &amp;E$2,RegisterChk[Transaction Year],"="&amp;$C$1,RegisterChk[Category],"=" &amp;$A86)</calculatedColumnFormula>
      <totalsRowFormula>SUM(tblExpenseCategory_11[apr])</totalsRowFormula>
    </tableColumn>
    <tableColumn id="6" name="may" totalsRowFunction="custom" headerRowDxfId="210" dataDxfId="209" totalsRowDxfId="208">
      <calculatedColumnFormula>SUMIFS(RegisterChk[Withdrawal (-)],RegisterChk[Transaction Month],"=" &amp;F$2,RegisterChk[Transaction Year],"="&amp;$C$1,RegisterChk[Category],"=" &amp;$A86)</calculatedColumnFormula>
      <totalsRowFormula>SUM(tblExpenseCategory_11[may])</totalsRowFormula>
    </tableColumn>
    <tableColumn id="7" name="jun" totalsRowFunction="custom" headerRowDxfId="207" dataDxfId="206" totalsRowDxfId="205">
      <calculatedColumnFormula>SUMIFS(RegisterChk[Withdrawal (-)],RegisterChk[Transaction Month],"=" &amp;G$2,RegisterChk[Transaction Year],"="&amp;$C$1,RegisterChk[Category],"=" &amp;$A86)</calculatedColumnFormula>
      <totalsRowFormula>SUM(tblExpenseCategory_11[jun])</totalsRowFormula>
    </tableColumn>
    <tableColumn id="8" name="jul" totalsRowFunction="custom" headerRowDxfId="204" dataDxfId="203" totalsRowDxfId="202">
      <calculatedColumnFormula>SUMIFS(RegisterChk[Withdrawal (-)],RegisterChk[Transaction Month],"=" &amp;H$2,RegisterChk[Transaction Year],"="&amp;$C$1,RegisterChk[Category],"=" &amp;$A86)</calculatedColumnFormula>
      <totalsRowFormula>SUM(tblExpenseCategory_11[jul])</totalsRowFormula>
    </tableColumn>
    <tableColumn id="9" name="aug" totalsRowFunction="custom" headerRowDxfId="201" dataDxfId="200" totalsRowDxfId="199">
      <calculatedColumnFormula>SUMIFS(RegisterChk[Withdrawal (-)],RegisterChk[Transaction Month],"=" &amp;I$2,RegisterChk[Transaction Year],"="&amp;$C$1,RegisterChk[Category],"=" &amp;$A86)</calculatedColumnFormula>
      <totalsRowFormula>SUM(tblExpenseCategory_11[aug])</totalsRowFormula>
    </tableColumn>
    <tableColumn id="10" name="sep" totalsRowFunction="custom" headerRowDxfId="198" dataDxfId="197" totalsRowDxfId="196">
      <calculatedColumnFormula>SUMIFS(RegisterChk[Withdrawal (-)],RegisterChk[Transaction Month],"=" &amp;J$2,RegisterChk[Transaction Year],"="&amp;$C$1,RegisterChk[Category],"=" &amp;$A86)</calculatedColumnFormula>
      <totalsRowFormula>SUM(tblExpenseCategory_11[sep])</totalsRowFormula>
    </tableColumn>
    <tableColumn id="11" name="oct" totalsRowFunction="custom" headerRowDxfId="195" dataDxfId="194" totalsRowDxfId="193">
      <calculatedColumnFormula>SUMIFS(RegisterChk[Withdrawal (-)],RegisterChk[Transaction Month],"=" &amp;K$2,RegisterChk[Transaction Year],"="&amp;$C$1,RegisterChk[Category],"=" &amp;$A86)</calculatedColumnFormula>
      <totalsRowFormula>SUM(tblExpenseCategory_11[oct])</totalsRowFormula>
    </tableColumn>
    <tableColumn id="12" name="nov" totalsRowFunction="custom" headerRowDxfId="192" dataDxfId="191" totalsRowDxfId="190">
      <calculatedColumnFormula>SUMIFS(RegisterChk[Withdrawal (-)],RegisterChk[Transaction Month],"=" &amp;L$2,RegisterChk[Transaction Year],"="&amp;$C$1,RegisterChk[Category],"=" &amp;$A86)</calculatedColumnFormula>
      <totalsRowFormula>SUM(tblExpenseCategory_11[nov])</totalsRowFormula>
    </tableColumn>
    <tableColumn id="13" name="dec" totalsRowFunction="custom" headerRowDxfId="189" dataDxfId="188" totalsRowDxfId="187">
      <calculatedColumnFormula>SUMIFS(RegisterChk[Withdrawal (-)],RegisterChk[Transaction Month],"=" &amp;M$2,RegisterChk[Transaction Year],"="&amp;$C$1,RegisterChk[Category],"=" &amp;$A86)</calculatedColumnFormula>
      <totalsRowFormula>SUM(tblExpenseCategory_11[dec])</totalsRowFormula>
    </tableColumn>
    <tableColumn id="14" name="year" totalsRowFunction="custom" headerRowDxfId="186" dataDxfId="185" totalsRowDxfId="184">
      <calculatedColumnFormula>SUM(tblExpenseCategory_11[[#This Row],[jan]:[dec]])</calculatedColumnFormula>
      <totalsRowFormula>SUM(tblExpenseCategory_11[year])</totalsRowFormula>
    </tableColumn>
    <tableColumn id="15" name="avg" totalsRowFunction="custom" headerRowDxfId="183" dataDxfId="182" totalsRowDxfId="181">
      <calculatedColumnFormula>SUM(B87:M87)/MONTH(NOW())</calculatedColumnFormula>
      <totalsRowFormula>SUM(B90:M90)/MONTH(NOW())</totalsRowFormula>
    </tableColumn>
  </tableColumns>
  <tableStyleInfo name="TableStyleMedium19" showFirstColumn="1" showLastColumn="0" showRowStripes="1" showColumnStripes="0"/>
  <extLst>
    <ext xmlns:x14="http://schemas.microsoft.com/office/spreadsheetml/2009/9/main" uri="{504A1905-F514-4f6f-8877-14C23A59335A}">
      <x14:table altText="Empty Expense table" altTextSummary="Expense table you can customize for your needs for monthly expenses that do not fit in the expense categories provided."/>
    </ext>
  </extLst>
</table>
</file>

<file path=xl/tables/table20.xml><?xml version="1.0" encoding="utf-8"?>
<table xmlns="http://schemas.openxmlformats.org/spreadsheetml/2006/main" id="21" name="tblExpenseCategory_12" displayName="tblExpenseCategory_12" ref="A94:O97" headerRowCount="0" totalsRowCount="1">
  <tableColumns count="15">
    <tableColumn id="1" name=" " totalsRowFunction="custom" headerRowDxfId="180" dataDxfId="179" totalsRowDxfId="178" dataCellStyle="Normal 2">
      <totalsRowFormula>UPPER("Total " &amp; A93)</totalsRowFormula>
    </tableColumn>
    <tableColumn id="2" name="jan" totalsRowFunction="custom" headerRowDxfId="177" dataDxfId="176" totalsRowDxfId="175">
      <calculatedColumnFormula>SUMIFS(RegisterChk[Withdrawal (-)],RegisterChk[Transaction Month],"=" &amp;B$2,RegisterChk[Transaction Year],"="&amp;$C$1,RegisterChk[Category],"=" &amp;$A93)</calculatedColumnFormula>
      <totalsRowFormula>SUM(tblExpenseCategory_12[jan])</totalsRowFormula>
    </tableColumn>
    <tableColumn id="3" name="feb" totalsRowFunction="custom" headerRowDxfId="174" dataDxfId="173" totalsRowDxfId="172">
      <calculatedColumnFormula>SUMIFS(RegisterChk[Withdrawal (-)],RegisterChk[Transaction Month],"=" &amp;C$2,RegisterChk[Transaction Year],"="&amp;$C$1,RegisterChk[Category],"=" &amp;$A93)</calculatedColumnFormula>
      <totalsRowFormula>SUM(tblExpenseCategory_12[feb])</totalsRowFormula>
    </tableColumn>
    <tableColumn id="4" name="mar" totalsRowFunction="custom" headerRowDxfId="171" dataDxfId="170" totalsRowDxfId="169">
      <calculatedColumnFormula>SUMIFS(RegisterChk[Withdrawal (-)],RegisterChk[Transaction Month],"=" &amp;D$2,RegisterChk[Transaction Year],"="&amp;$C$1,RegisterChk[Category],"=" &amp;$A93)</calculatedColumnFormula>
      <totalsRowFormula>SUM(tblExpenseCategory_12[mar])</totalsRowFormula>
    </tableColumn>
    <tableColumn id="5" name="apr" totalsRowFunction="custom" headerRowDxfId="168" dataDxfId="167" totalsRowDxfId="166">
      <calculatedColumnFormula>SUMIFS(RegisterChk[Withdrawal (-)],RegisterChk[Transaction Month],"=" &amp;E$2,RegisterChk[Transaction Year],"="&amp;$C$1,RegisterChk[Category],"=" &amp;$A93)</calculatedColumnFormula>
      <totalsRowFormula>SUM(tblExpenseCategory_12[apr])</totalsRowFormula>
    </tableColumn>
    <tableColumn id="6" name="may" totalsRowFunction="custom" headerRowDxfId="165" dataDxfId="164" totalsRowDxfId="163">
      <calculatedColumnFormula>SUMIFS(RegisterChk[Withdrawal (-)],RegisterChk[Transaction Month],"=" &amp;F$2,RegisterChk[Transaction Year],"="&amp;$C$1,RegisterChk[Category],"=" &amp;$A93)</calculatedColumnFormula>
      <totalsRowFormula>SUM(tblExpenseCategory_12[may])</totalsRowFormula>
    </tableColumn>
    <tableColumn id="7" name="jun" totalsRowFunction="custom" headerRowDxfId="162" dataDxfId="161" totalsRowDxfId="160">
      <calculatedColumnFormula>SUMIFS(RegisterChk[Withdrawal (-)],RegisterChk[Transaction Month],"=" &amp;G$2,RegisterChk[Transaction Year],"="&amp;$C$1,RegisterChk[Category],"=" &amp;$A93)</calculatedColumnFormula>
      <totalsRowFormula>SUM(tblExpenseCategory_12[jun])</totalsRowFormula>
    </tableColumn>
    <tableColumn id="8" name="jul" totalsRowFunction="custom" headerRowDxfId="159" dataDxfId="158" totalsRowDxfId="157">
      <calculatedColumnFormula>SUMIFS(RegisterChk[Withdrawal (-)],RegisterChk[Transaction Month],"=" &amp;H$2,RegisterChk[Transaction Year],"="&amp;$C$1,RegisterChk[Category],"=" &amp;$A93)</calculatedColumnFormula>
      <totalsRowFormula>SUM(tblExpenseCategory_12[jul])</totalsRowFormula>
    </tableColumn>
    <tableColumn id="9" name="aug" totalsRowFunction="custom" headerRowDxfId="156" dataDxfId="155" totalsRowDxfId="154">
      <calculatedColumnFormula>SUMIFS(RegisterChk[Withdrawal (-)],RegisterChk[Transaction Month],"=" &amp;I$2,RegisterChk[Transaction Year],"="&amp;$C$1,RegisterChk[Category],"=" &amp;$A93)</calculatedColumnFormula>
      <totalsRowFormula>SUM(tblExpenseCategory_12[aug])</totalsRowFormula>
    </tableColumn>
    <tableColumn id="10" name="sep" totalsRowFunction="custom" headerRowDxfId="153" dataDxfId="152" totalsRowDxfId="151">
      <calculatedColumnFormula>SUMIFS(RegisterChk[Withdrawal (-)],RegisterChk[Transaction Month],"=" &amp;J$2,RegisterChk[Transaction Year],"="&amp;$C$1,RegisterChk[Category],"=" &amp;$A93)</calculatedColumnFormula>
      <totalsRowFormula>SUM(tblExpenseCategory_12[sep])</totalsRowFormula>
    </tableColumn>
    <tableColumn id="11" name="oct" totalsRowFunction="custom" headerRowDxfId="150" dataDxfId="149" totalsRowDxfId="148">
      <calculatedColumnFormula>SUMIFS(RegisterChk[Withdrawal (-)],RegisterChk[Transaction Month],"=" &amp;K$2,RegisterChk[Transaction Year],"="&amp;$C$1,RegisterChk[Category],"=" &amp;$A93)</calculatedColumnFormula>
      <totalsRowFormula>SUM(tblExpenseCategory_12[oct])</totalsRowFormula>
    </tableColumn>
    <tableColumn id="12" name="nov" totalsRowFunction="custom" headerRowDxfId="147" dataDxfId="146" totalsRowDxfId="145">
      <calculatedColumnFormula>SUMIFS(RegisterChk[Withdrawal (-)],RegisterChk[Transaction Month],"=" &amp;L$2,RegisterChk[Transaction Year],"="&amp;$C$1,RegisterChk[Category],"=" &amp;$A93)</calculatedColumnFormula>
      <totalsRowFormula>SUM(tblExpenseCategory_12[nov])</totalsRowFormula>
    </tableColumn>
    <tableColumn id="13" name="dec" totalsRowFunction="custom" headerRowDxfId="144" dataDxfId="143" totalsRowDxfId="142">
      <calculatedColumnFormula>SUMIFS(RegisterChk[Withdrawal (-)],RegisterChk[Transaction Month],"=" &amp;M$2,RegisterChk[Transaction Year],"="&amp;$C$1,RegisterChk[Category],"=" &amp;$A93)</calculatedColumnFormula>
      <totalsRowFormula>SUM(tblExpenseCategory_12[dec])</totalsRowFormula>
    </tableColumn>
    <tableColumn id="14" name="year" totalsRowFunction="custom" headerRowDxfId="141" dataDxfId="140" totalsRowDxfId="139">
      <calculatedColumnFormula>SUM(tblExpenseCategory_12[[#This Row],[jan]:[dec]])</calculatedColumnFormula>
      <totalsRowFormula>SUM(tblExpenseCategory_12[year])</totalsRowFormula>
    </tableColumn>
    <tableColumn id="15" name="avg" totalsRowFunction="custom" headerRowDxfId="138" dataDxfId="137" totalsRowDxfId="136">
      <calculatedColumnFormula>SUM(B94:M94)/MONTH(NOW())</calculatedColumnFormula>
      <totalsRowFormula>SUM(B97:M97)/MONTH(NOW())</totalsRowFormula>
    </tableColumn>
  </tableColumns>
  <tableStyleInfo name="TableStyleMedium19" showFirstColumn="1" showLastColumn="0" showRowStripes="1" showColumnStripes="0"/>
  <extLst>
    <ext xmlns:x14="http://schemas.microsoft.com/office/spreadsheetml/2009/9/main" uri="{504A1905-F514-4f6f-8877-14C23A59335A}">
      <x14:table altText="Empty Expense table" altTextSummary="Expense table you can customize for your needs for monthly expenses that do not fit in the expense categories provided."/>
    </ext>
  </extLst>
</table>
</file>

<file path=xl/tables/table21.xml><?xml version="1.0" encoding="utf-8"?>
<table xmlns="http://schemas.openxmlformats.org/spreadsheetml/2006/main" id="22" name="tblExpenseCategory_13" displayName="tblExpenseCategory_13" ref="A101:O104" headerRowCount="0" totalsRowCount="1">
  <tableColumns count="15">
    <tableColumn id="1" name=" " totalsRowFunction="custom" headerRowDxfId="135" totalsRowDxfId="134" dataCellStyle="Normal 2">
      <totalsRowFormula>UPPER("Total " &amp; A100)</totalsRowFormula>
    </tableColumn>
    <tableColumn id="2" name="jan" totalsRowFunction="custom" headerRowDxfId="133" dataDxfId="132" totalsRowDxfId="131" dataCellStyle="Normal 2">
      <calculatedColumnFormula>SUMIFS(RegisterChk[Withdrawal (-)],RegisterChk[Transaction Month],"=" &amp;B$2,RegisterChk[Transaction Year],"="&amp;$C$1,RegisterChk[Category],"=" &amp;$A100)</calculatedColumnFormula>
      <totalsRowFormula>SUM(tblExpenseCategory_13[jan])</totalsRowFormula>
    </tableColumn>
    <tableColumn id="3" name="feb" totalsRowFunction="custom" headerRowDxfId="130" dataDxfId="129" totalsRowDxfId="128" dataCellStyle="Normal 2">
      <calculatedColumnFormula>SUMIFS(RegisterChk[Withdrawal (-)],RegisterChk[Transaction Month],"=" &amp;C$2,RegisterChk[Transaction Year],"="&amp;$C$1,RegisterChk[Category],"=" &amp;$A100)</calculatedColumnFormula>
      <totalsRowFormula>SUM(tblExpenseCategory_13[feb])</totalsRowFormula>
    </tableColumn>
    <tableColumn id="4" name="mar" totalsRowFunction="custom" headerRowDxfId="127" dataDxfId="126" totalsRowDxfId="125" dataCellStyle="Normal 2">
      <calculatedColumnFormula>SUMIFS(RegisterChk[Withdrawal (-)],RegisterChk[Transaction Month],"=" &amp;D$2,RegisterChk[Transaction Year],"="&amp;$C$1,RegisterChk[Category],"=" &amp;$A100)</calculatedColumnFormula>
      <totalsRowFormula>SUM(tblExpenseCategory_13[mar])</totalsRowFormula>
    </tableColumn>
    <tableColumn id="5" name="apr" totalsRowFunction="custom" headerRowDxfId="124" dataDxfId="123" totalsRowDxfId="122" dataCellStyle="Normal 2">
      <calculatedColumnFormula>SUMIFS(RegisterChk[Withdrawal (-)],RegisterChk[Transaction Month],"=" &amp;E$2,RegisterChk[Transaction Year],"="&amp;$C$1,RegisterChk[Category],"=" &amp;$A100)</calculatedColumnFormula>
      <totalsRowFormula>SUM(tblExpenseCategory_13[apr])</totalsRowFormula>
    </tableColumn>
    <tableColumn id="6" name="may" totalsRowFunction="custom" headerRowDxfId="121" dataDxfId="120" totalsRowDxfId="119" dataCellStyle="Normal 2">
      <calculatedColumnFormula>SUMIFS(RegisterChk[Withdrawal (-)],RegisterChk[Transaction Month],"=" &amp;F$2,RegisterChk[Transaction Year],"="&amp;$C$1,RegisterChk[Category],"=" &amp;$A100)</calculatedColumnFormula>
      <totalsRowFormula>SUM(tblExpenseCategory_13[may])</totalsRowFormula>
    </tableColumn>
    <tableColumn id="7" name="jun" totalsRowFunction="custom" headerRowDxfId="118" dataDxfId="117" totalsRowDxfId="116" dataCellStyle="Normal 2">
      <calculatedColumnFormula>SUMIFS(RegisterChk[Withdrawal (-)],RegisterChk[Transaction Month],"=" &amp;G$2,RegisterChk[Transaction Year],"="&amp;$C$1,RegisterChk[Category],"=" &amp;$A100)</calculatedColumnFormula>
      <totalsRowFormula>SUM(tblExpenseCategory_13[jun])</totalsRowFormula>
    </tableColumn>
    <tableColumn id="8" name="jul" totalsRowFunction="custom" headerRowDxfId="115" dataDxfId="114" totalsRowDxfId="113" dataCellStyle="Normal 2">
      <calculatedColumnFormula>SUMIFS(RegisterChk[Withdrawal (-)],RegisterChk[Transaction Month],"=" &amp;H$2,RegisterChk[Transaction Year],"="&amp;$C$1,RegisterChk[Category],"=" &amp;$A100)</calculatedColumnFormula>
      <totalsRowFormula>SUM(tblExpenseCategory_13[jul])</totalsRowFormula>
    </tableColumn>
    <tableColumn id="9" name="aug" totalsRowFunction="custom" headerRowDxfId="112" dataDxfId="111" totalsRowDxfId="110" dataCellStyle="Normal 2">
      <calculatedColumnFormula>SUMIFS(RegisterChk[Withdrawal (-)],RegisterChk[Transaction Month],"=" &amp;I$2,RegisterChk[Transaction Year],"="&amp;$C$1,RegisterChk[Category],"=" &amp;$A100)</calculatedColumnFormula>
      <totalsRowFormula>SUM(tblExpenseCategory_13[aug])</totalsRowFormula>
    </tableColumn>
    <tableColumn id="10" name="sep" totalsRowFunction="custom" headerRowDxfId="109" dataDxfId="108" totalsRowDxfId="107" dataCellStyle="Normal 2">
      <calculatedColumnFormula>SUMIFS(RegisterChk[Withdrawal (-)],RegisterChk[Transaction Month],"=" &amp;J$2,RegisterChk[Transaction Year],"="&amp;$C$1,RegisterChk[Category],"=" &amp;$A100)</calculatedColumnFormula>
      <totalsRowFormula>SUM(tblExpenseCategory_13[sep])</totalsRowFormula>
    </tableColumn>
    <tableColumn id="11" name="oct" totalsRowFunction="custom" headerRowDxfId="106" dataDxfId="105" totalsRowDxfId="104" dataCellStyle="Normal 2">
      <calculatedColumnFormula>SUMIFS(RegisterChk[Withdrawal (-)],RegisterChk[Transaction Month],"=" &amp;K$2,RegisterChk[Transaction Year],"="&amp;$C$1,RegisterChk[Category],"=" &amp;$A100)</calculatedColumnFormula>
      <totalsRowFormula>SUM(tblExpenseCategory_13[oct])</totalsRowFormula>
    </tableColumn>
    <tableColumn id="12" name="nov" totalsRowFunction="custom" headerRowDxfId="103" dataDxfId="102" totalsRowDxfId="101" dataCellStyle="Normal 2">
      <calculatedColumnFormula>SUMIFS(RegisterChk[Withdrawal (-)],RegisterChk[Transaction Month],"=" &amp;L$2,RegisterChk[Transaction Year],"="&amp;$C$1,RegisterChk[Category],"=" &amp;$A100)</calculatedColumnFormula>
      <totalsRowFormula>SUM(tblExpenseCategory_13[nov])</totalsRowFormula>
    </tableColumn>
    <tableColumn id="13" name="dec" totalsRowFunction="custom" headerRowDxfId="100" dataDxfId="99" totalsRowDxfId="98" dataCellStyle="Normal 2">
      <calculatedColumnFormula>SUMIFS(RegisterChk[Withdrawal (-)],RegisterChk[Transaction Month],"=" &amp;M$2,RegisterChk[Transaction Year],"="&amp;$C$1,RegisterChk[Category],"=" &amp;$A100)</calculatedColumnFormula>
      <totalsRowFormula>SUM(tblExpenseCategory_13[dec])</totalsRowFormula>
    </tableColumn>
    <tableColumn id="14" name="year" totalsRowFunction="custom" headerRowDxfId="97" dataDxfId="96" totalsRowDxfId="95" dataCellStyle="Normal 2">
      <calculatedColumnFormula>SUM(tblExpenseCategory_13[[#This Row],[jan]:[dec]])</calculatedColumnFormula>
      <totalsRowFormula>SUM(tblExpenseCategory_13[year])</totalsRowFormula>
    </tableColumn>
    <tableColumn id="15" name="avg" totalsRowFunction="custom" headerRowDxfId="94" dataDxfId="93" totalsRowDxfId="92" dataCellStyle="Normal 2">
      <calculatedColumnFormula>SUM(B101:M101)/MONTH(NOW())</calculatedColumnFormula>
      <totalsRowFormula>SUM(B104:M104)/MONTH(NOW())</totalsRowFormula>
    </tableColumn>
  </tableColumns>
  <tableStyleInfo name="TableStyleMedium19" showFirstColumn="1" showLastColumn="0" showRowStripes="1" showColumnStripes="0"/>
  <extLst>
    <ext xmlns:x14="http://schemas.microsoft.com/office/spreadsheetml/2009/9/main" uri="{504A1905-F514-4f6f-8877-14C23A59335A}">
      <x14:table altText="Empty Expense table" altTextSummary="Expense table you can customize for your needs for monthly expenses that do not fit in the expense categories provided."/>
    </ext>
  </extLst>
</table>
</file>

<file path=xl/tables/table22.xml><?xml version="1.0" encoding="utf-8"?>
<table xmlns="http://schemas.openxmlformats.org/spreadsheetml/2006/main" id="23" name="tblExpenseCategory_14" displayName="tblExpenseCategory_14" ref="A108:O111" headerRowCount="0" totalsRowCount="1">
  <tableColumns count="15">
    <tableColumn id="1" name=" " totalsRowFunction="custom" headerRowDxfId="91" totalsRowDxfId="90" dataCellStyle="Normal 2">
      <totalsRowFormula>UPPER("Total " &amp; A107)</totalsRowFormula>
    </tableColumn>
    <tableColumn id="2" name="jan" totalsRowFunction="custom" headerRowDxfId="89" dataDxfId="88" totalsRowDxfId="87" dataCellStyle="Normal 2">
      <calculatedColumnFormula>SUMIFS(RegisterChk[Withdrawal (-)],RegisterChk[Transaction Month],"=" &amp;B$2,RegisterChk[Transaction Year],"="&amp;$C$1,RegisterChk[Category],"=" &amp;$A107)</calculatedColumnFormula>
      <totalsRowFormula>SUM(tblExpenseCategory_14[jan])</totalsRowFormula>
    </tableColumn>
    <tableColumn id="3" name="feb" totalsRowFunction="custom" headerRowDxfId="86" dataDxfId="85" totalsRowDxfId="84" dataCellStyle="Normal 2">
      <calculatedColumnFormula>SUMIFS(RegisterChk[Withdrawal (-)],RegisterChk[Transaction Month],"=" &amp;C$2,RegisterChk[Transaction Year],"="&amp;$C$1,RegisterChk[Category],"=" &amp;$A107)</calculatedColumnFormula>
      <totalsRowFormula>SUM(tblExpenseCategory_14[feb])</totalsRowFormula>
    </tableColumn>
    <tableColumn id="4" name="mar" totalsRowFunction="custom" headerRowDxfId="83" dataDxfId="82" totalsRowDxfId="81" dataCellStyle="Normal 2">
      <calculatedColumnFormula>SUMIFS(RegisterChk[Withdrawal (-)],RegisterChk[Transaction Month],"=" &amp;D$2,RegisterChk[Transaction Year],"="&amp;$C$1,RegisterChk[Category],"=" &amp;$A107)</calculatedColumnFormula>
      <totalsRowFormula>SUM(tblExpenseCategory_14[mar])</totalsRowFormula>
    </tableColumn>
    <tableColumn id="5" name="apr" totalsRowFunction="custom" headerRowDxfId="80" dataDxfId="79" totalsRowDxfId="78" dataCellStyle="Normal 2">
      <calculatedColumnFormula>SUMIFS(RegisterChk[Withdrawal (-)],RegisterChk[Transaction Month],"=" &amp;E$2,RegisterChk[Transaction Year],"="&amp;$C$1,RegisterChk[Category],"=" &amp;$A107)</calculatedColumnFormula>
      <totalsRowFormula>SUM(tblExpenseCategory_14[apr])</totalsRowFormula>
    </tableColumn>
    <tableColumn id="6" name="may" totalsRowFunction="custom" headerRowDxfId="77" dataDxfId="76" totalsRowDxfId="75" dataCellStyle="Normal 2">
      <calculatedColumnFormula>SUMIFS(RegisterChk[Withdrawal (-)],RegisterChk[Transaction Month],"=" &amp;F$2,RegisterChk[Transaction Year],"="&amp;$C$1,RegisterChk[Category],"=" &amp;$A107)</calculatedColumnFormula>
      <totalsRowFormula>SUM(tblExpenseCategory_14[may])</totalsRowFormula>
    </tableColumn>
    <tableColumn id="7" name="jun" totalsRowFunction="custom" headerRowDxfId="74" dataDxfId="73" totalsRowDxfId="72" dataCellStyle="Normal 2">
      <calculatedColumnFormula>SUMIFS(RegisterChk[Withdrawal (-)],RegisterChk[Transaction Month],"=" &amp;G$2,RegisterChk[Transaction Year],"="&amp;$C$1,RegisterChk[Category],"=" &amp;$A107)</calculatedColumnFormula>
      <totalsRowFormula>SUM(tblExpenseCategory_14[jun])</totalsRowFormula>
    </tableColumn>
    <tableColumn id="8" name="jul" totalsRowFunction="custom" headerRowDxfId="71" dataDxfId="70" totalsRowDxfId="69" dataCellStyle="Normal 2">
      <calculatedColumnFormula>SUMIFS(RegisterChk[Withdrawal (-)],RegisterChk[Transaction Month],"=" &amp;H$2,RegisterChk[Transaction Year],"="&amp;$C$1,RegisterChk[Category],"=" &amp;$A107)</calculatedColumnFormula>
      <totalsRowFormula>SUM(tblExpenseCategory_14[jul])</totalsRowFormula>
    </tableColumn>
    <tableColumn id="9" name="aug" totalsRowFunction="custom" headerRowDxfId="68" dataDxfId="67" totalsRowDxfId="66" dataCellStyle="Normal 2">
      <calculatedColumnFormula>SUMIFS(RegisterChk[Withdrawal (-)],RegisterChk[Transaction Month],"=" &amp;I$2,RegisterChk[Transaction Year],"="&amp;$C$1,RegisterChk[Category],"=" &amp;$A107)</calculatedColumnFormula>
      <totalsRowFormula>SUM(tblExpenseCategory_14[aug])</totalsRowFormula>
    </tableColumn>
    <tableColumn id="10" name="sep" totalsRowFunction="custom" headerRowDxfId="65" dataDxfId="64" totalsRowDxfId="63" dataCellStyle="Normal 2">
      <calculatedColumnFormula>SUMIFS(RegisterChk[Withdrawal (-)],RegisterChk[Transaction Month],"=" &amp;J$2,RegisterChk[Transaction Year],"="&amp;$C$1,RegisterChk[Category],"=" &amp;$A107)</calculatedColumnFormula>
      <totalsRowFormula>SUM(tblExpenseCategory_14[sep])</totalsRowFormula>
    </tableColumn>
    <tableColumn id="11" name="oct" totalsRowFunction="custom" headerRowDxfId="62" dataDxfId="61" totalsRowDxfId="60" dataCellStyle="Normal 2">
      <calculatedColumnFormula>SUMIFS(RegisterChk[Withdrawal (-)],RegisterChk[Transaction Month],"=" &amp;K$2,RegisterChk[Transaction Year],"="&amp;$C$1,RegisterChk[Category],"=" &amp;$A107)</calculatedColumnFormula>
      <totalsRowFormula>SUM(tblExpenseCategory_14[oct])</totalsRowFormula>
    </tableColumn>
    <tableColumn id="12" name="nov" totalsRowFunction="custom" headerRowDxfId="59" dataDxfId="58" totalsRowDxfId="57" dataCellStyle="Normal 2">
      <calculatedColumnFormula>SUMIFS(RegisterChk[Withdrawal (-)],RegisterChk[Transaction Month],"=" &amp;L$2,RegisterChk[Transaction Year],"="&amp;$C$1,RegisterChk[Category],"=" &amp;$A107)</calculatedColumnFormula>
      <totalsRowFormula>SUM(tblExpenseCategory_14[nov])</totalsRowFormula>
    </tableColumn>
    <tableColumn id="13" name="dec" totalsRowFunction="custom" headerRowDxfId="56" dataDxfId="55" totalsRowDxfId="54" dataCellStyle="Normal 2">
      <calculatedColumnFormula>SUMIFS(RegisterChk[Withdrawal (-)],RegisterChk[Transaction Month],"=" &amp;M$2,RegisterChk[Transaction Year],"="&amp;$C$1,RegisterChk[Category],"=" &amp;$A107)</calculatedColumnFormula>
      <totalsRowFormula>SUM(tblExpenseCategory_14[dec])</totalsRowFormula>
    </tableColumn>
    <tableColumn id="14" name="year" totalsRowFunction="custom" headerRowDxfId="53" dataDxfId="52" totalsRowDxfId="51" dataCellStyle="Normal 2">
      <calculatedColumnFormula>SUM(tblExpenseCategory_14[[#This Row],[jan]:[dec]])</calculatedColumnFormula>
      <totalsRowFormula>SUM(tblExpenseCategory_14[year])</totalsRowFormula>
    </tableColumn>
    <tableColumn id="15" name="avg" totalsRowFunction="custom" headerRowDxfId="50" dataDxfId="49" totalsRowDxfId="48" dataCellStyle="Normal 2">
      <calculatedColumnFormula>SUM(B108:M108)/MONTH(NOW())</calculatedColumnFormula>
      <totalsRowFormula>SUM(B111:M111)/MONTH(NOW())</totalsRowFormula>
    </tableColumn>
  </tableColumns>
  <tableStyleInfo name="TableStyleMedium19" showFirstColumn="1" showLastColumn="0" showRowStripes="1" showColumnStripes="0"/>
  <extLst>
    <ext xmlns:x14="http://schemas.microsoft.com/office/spreadsheetml/2009/9/main" uri="{504A1905-F514-4f6f-8877-14C23A59335A}">
      <x14:table altText="Empty Expense table" altTextSummary="Expense table you can customize for your needs for monthly expenses that do not fit in the expense categories provided."/>
    </ext>
  </extLst>
</table>
</file>

<file path=xl/tables/table23.xml><?xml version="1.0" encoding="utf-8"?>
<table xmlns="http://schemas.openxmlformats.org/spreadsheetml/2006/main" id="24" name="tblExpenseCategory_15" displayName="tblExpenseCategory_15" ref="A115:O118" headerRowCount="0" totalsRowCount="1">
  <tableColumns count="15">
    <tableColumn id="1" name=" " totalsRowFunction="custom" headerRowDxfId="47" totalsRowDxfId="46" dataCellStyle="Normal 2">
      <totalsRowFormula>UPPER("Total " &amp; A114)</totalsRowFormula>
    </tableColumn>
    <tableColumn id="2" name="jan" totalsRowFunction="custom" headerRowDxfId="45" dataDxfId="44" totalsRowDxfId="43" dataCellStyle="Normal 2">
      <calculatedColumnFormula>SUMIFS(RegisterChk[Withdrawal (-)],RegisterChk[Transaction Month],"=" &amp;B$2,RegisterChk[Transaction Year],"="&amp;$C$1,RegisterChk[Category],"=" &amp;$A114)</calculatedColumnFormula>
      <totalsRowFormula>SUM(tblExpenseCategory_15[jan])</totalsRowFormula>
    </tableColumn>
    <tableColumn id="3" name="feb" totalsRowFunction="custom" headerRowDxfId="42" dataDxfId="41" totalsRowDxfId="40" dataCellStyle="Normal 2">
      <calculatedColumnFormula>SUMIFS(RegisterChk[Withdrawal (-)],RegisterChk[Transaction Month],"=" &amp;C$2,RegisterChk[Transaction Year],"="&amp;$C$1,RegisterChk[Category],"=" &amp;$A114)</calculatedColumnFormula>
      <totalsRowFormula>SUM(tblExpenseCategory_15[feb])</totalsRowFormula>
    </tableColumn>
    <tableColumn id="4" name="mar" totalsRowFunction="custom" headerRowDxfId="39" dataDxfId="38" totalsRowDxfId="37" dataCellStyle="Normal 2">
      <calculatedColumnFormula>SUMIFS(RegisterChk[Withdrawal (-)],RegisterChk[Transaction Month],"=" &amp;D$2,RegisterChk[Transaction Year],"="&amp;$C$1,RegisterChk[Category],"=" &amp;$A114)</calculatedColumnFormula>
      <totalsRowFormula>SUM(tblExpenseCategory_15[mar])</totalsRowFormula>
    </tableColumn>
    <tableColumn id="5" name="apr" totalsRowFunction="custom" headerRowDxfId="36" dataDxfId="35" totalsRowDxfId="34" dataCellStyle="Normal 2">
      <calculatedColumnFormula>SUMIFS(RegisterChk[Withdrawal (-)],RegisterChk[Transaction Month],"=" &amp;E$2,RegisterChk[Transaction Year],"="&amp;$C$1,RegisterChk[Category],"=" &amp;$A114)</calculatedColumnFormula>
      <totalsRowFormula>SUM(tblExpenseCategory_15[apr])</totalsRowFormula>
    </tableColumn>
    <tableColumn id="6" name="may" totalsRowFunction="custom" headerRowDxfId="33" dataDxfId="32" totalsRowDxfId="31" dataCellStyle="Normal 2">
      <calculatedColumnFormula>SUMIFS(RegisterChk[Withdrawal (-)],RegisterChk[Transaction Month],"=" &amp;F$2,RegisterChk[Transaction Year],"="&amp;$C$1,RegisterChk[Category],"=" &amp;$A114)</calculatedColumnFormula>
      <totalsRowFormula>SUM(tblExpenseCategory_15[may])</totalsRowFormula>
    </tableColumn>
    <tableColumn id="7" name="jun" totalsRowFunction="custom" headerRowDxfId="30" dataDxfId="29" totalsRowDxfId="28" dataCellStyle="Normal 2">
      <calculatedColumnFormula>SUMIFS(RegisterChk[Withdrawal (-)],RegisterChk[Transaction Month],"=" &amp;G$2,RegisterChk[Transaction Year],"="&amp;$C$1,RegisterChk[Category],"=" &amp;$A114)</calculatedColumnFormula>
      <totalsRowFormula>SUM(tblExpenseCategory_15[jun])</totalsRowFormula>
    </tableColumn>
    <tableColumn id="8" name="jul" totalsRowFunction="custom" headerRowDxfId="27" dataDxfId="26" totalsRowDxfId="25" dataCellStyle="Normal 2">
      <calculatedColumnFormula>SUMIFS(RegisterChk[Withdrawal (-)],RegisterChk[Transaction Month],"=" &amp;H$2,RegisterChk[Transaction Year],"="&amp;$C$1,RegisterChk[Category],"=" &amp;$A114)</calculatedColumnFormula>
      <totalsRowFormula>SUM(tblExpenseCategory_15[jul])</totalsRowFormula>
    </tableColumn>
    <tableColumn id="9" name="aug" totalsRowFunction="custom" headerRowDxfId="24" dataDxfId="23" totalsRowDxfId="22" dataCellStyle="Normal 2">
      <calculatedColumnFormula>SUMIFS(RegisterChk[Withdrawal (-)],RegisterChk[Transaction Month],"=" &amp;I$2,RegisterChk[Transaction Year],"="&amp;$C$1,RegisterChk[Category],"=" &amp;$A114)</calculatedColumnFormula>
      <totalsRowFormula>SUM(tblExpenseCategory_15[aug])</totalsRowFormula>
    </tableColumn>
    <tableColumn id="10" name="sep" totalsRowFunction="custom" headerRowDxfId="21" dataDxfId="20" totalsRowDxfId="19" dataCellStyle="Normal 2">
      <calculatedColumnFormula>SUMIFS(RegisterChk[Withdrawal (-)],RegisterChk[Transaction Month],"=" &amp;J$2,RegisterChk[Transaction Year],"="&amp;$C$1,RegisterChk[Category],"=" &amp;$A114)</calculatedColumnFormula>
      <totalsRowFormula>SUM(tblExpenseCategory_15[sep])</totalsRowFormula>
    </tableColumn>
    <tableColumn id="11" name="oct" totalsRowFunction="custom" headerRowDxfId="18" dataDxfId="17" totalsRowDxfId="16" dataCellStyle="Normal 2">
      <calculatedColumnFormula>SUMIFS(RegisterChk[Withdrawal (-)],RegisterChk[Transaction Month],"=" &amp;K$2,RegisterChk[Transaction Year],"="&amp;$C$1,RegisterChk[Category],"=" &amp;$A114)</calculatedColumnFormula>
      <totalsRowFormula>SUM(tblExpenseCategory_15[oct])</totalsRowFormula>
    </tableColumn>
    <tableColumn id="12" name="nov" totalsRowFunction="custom" headerRowDxfId="15" dataDxfId="14" totalsRowDxfId="13" dataCellStyle="Normal 2">
      <calculatedColumnFormula>SUMIFS(RegisterChk[Withdrawal (-)],RegisterChk[Transaction Month],"=" &amp;L$2,RegisterChk[Transaction Year],"="&amp;$C$1,RegisterChk[Category],"=" &amp;$A114)</calculatedColumnFormula>
      <totalsRowFormula>SUM(tblExpenseCategory_15[nov])</totalsRowFormula>
    </tableColumn>
    <tableColumn id="13" name="dec" totalsRowFunction="custom" headerRowDxfId="12" dataDxfId="11" totalsRowDxfId="10" dataCellStyle="Normal 2">
      <calculatedColumnFormula>SUMIFS(RegisterChk[Withdrawal (-)],RegisterChk[Transaction Month],"=" &amp;M$2,RegisterChk[Transaction Year],"="&amp;$C$1,RegisterChk[Category],"=" &amp;$A114)</calculatedColumnFormula>
      <totalsRowFormula>SUM(tblExpenseCategory_15[dec])</totalsRowFormula>
    </tableColumn>
    <tableColumn id="14" name="year" totalsRowFunction="custom" headerRowDxfId="9" dataDxfId="8" totalsRowDxfId="7" dataCellStyle="Normal 2">
      <calculatedColumnFormula>SUM(tblExpenseCategory_15[[#This Row],[jan]:[dec]])</calculatedColumnFormula>
      <totalsRowFormula>SUM(tblExpenseCategory_15[year])</totalsRowFormula>
    </tableColumn>
    <tableColumn id="15" name="avg" totalsRowFunction="custom" headerRowDxfId="6" dataDxfId="5" totalsRowDxfId="4" dataCellStyle="Normal 2">
      <calculatedColumnFormula>SUM(B115:M115)/MONTH(NOW())</calculatedColumnFormula>
      <totalsRowFormula>SUM(B118:M118)/MONTH(NOW())</totalsRowFormula>
    </tableColumn>
  </tableColumns>
  <tableStyleInfo name="TableStyleMedium19" showFirstColumn="1" showLastColumn="0" showRowStripes="1" showColumnStripes="0"/>
  <extLst>
    <ext xmlns:x14="http://schemas.microsoft.com/office/spreadsheetml/2009/9/main" uri="{504A1905-F514-4f6f-8877-14C23A59335A}">
      <x14:table altText="Empty Expense table" altTextSummary="Expense table you can customize for your needs for monthly expenses that do not fit in the expense categories provided."/>
    </ext>
  </extLst>
</table>
</file>

<file path=xl/tables/table24.xml><?xml version="1.0" encoding="utf-8"?>
<table xmlns="http://schemas.openxmlformats.org/spreadsheetml/2006/main" id="10" name="MasterCategories" displayName="MasterCategories" ref="A3:B19" totalsRowShown="0" headerRowDxfId="3" dataDxfId="2">
  <tableColumns count="2">
    <tableColumn id="2" name="Column1" dataDxfId="1"/>
    <tableColumn id="1" name="Category" dataDxfId="0"/>
  </tableColumns>
  <tableStyleInfo showFirstColumn="0" showLastColumn="0" showRowStripes="0" showColumnStripes="0"/>
</table>
</file>

<file path=xl/theme/theme1.xml><?xml version="1.0" encoding="utf-8"?>
<a:theme xmlns:a="http://schemas.openxmlformats.org/drawingml/2006/main" name="Office Theme">
  <a:themeElements>
    <a:clrScheme name="Check Register">
      <a:dk1>
        <a:sysClr val="windowText" lastClr="000000"/>
      </a:dk1>
      <a:lt1>
        <a:sysClr val="window" lastClr="FFFFFF"/>
      </a:lt1>
      <a:dk2>
        <a:srgbClr val="595459"/>
      </a:dk2>
      <a:lt2>
        <a:srgbClr val="F1EFED"/>
      </a:lt2>
      <a:accent1>
        <a:srgbClr val="56BCBE"/>
      </a:accent1>
      <a:accent2>
        <a:srgbClr val="7FAC39"/>
      </a:accent2>
      <a:accent3>
        <a:srgbClr val="FF6927"/>
      </a:accent3>
      <a:accent4>
        <a:srgbClr val="5B7799"/>
      </a:accent4>
      <a:accent5>
        <a:srgbClr val="EAE400"/>
      </a:accent5>
      <a:accent6>
        <a:srgbClr val="E60000"/>
      </a:accent6>
      <a:hlink>
        <a:srgbClr val="5B7799"/>
      </a:hlink>
      <a:folHlink>
        <a:srgbClr val="56BCBE"/>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12.xml"/><Relationship Id="rId13" Type="http://schemas.openxmlformats.org/officeDocument/2006/relationships/table" Target="../tables/table17.xml"/><Relationship Id="rId18" Type="http://schemas.openxmlformats.org/officeDocument/2006/relationships/table" Target="../tables/table22.xml"/><Relationship Id="rId3" Type="http://schemas.openxmlformats.org/officeDocument/2006/relationships/image" Target="../media/image1.png"/><Relationship Id="rId7" Type="http://schemas.openxmlformats.org/officeDocument/2006/relationships/table" Target="../tables/table11.xml"/><Relationship Id="rId12" Type="http://schemas.openxmlformats.org/officeDocument/2006/relationships/table" Target="../tables/table16.xml"/><Relationship Id="rId17" Type="http://schemas.openxmlformats.org/officeDocument/2006/relationships/table" Target="../tables/table21.xml"/><Relationship Id="rId2" Type="http://schemas.openxmlformats.org/officeDocument/2006/relationships/drawing" Target="../drawings/drawing2.xml"/><Relationship Id="rId16" Type="http://schemas.openxmlformats.org/officeDocument/2006/relationships/table" Target="../tables/table20.xml"/><Relationship Id="rId1" Type="http://schemas.openxmlformats.org/officeDocument/2006/relationships/printerSettings" Target="../printerSettings/printerSettings5.bin"/><Relationship Id="rId6" Type="http://schemas.openxmlformats.org/officeDocument/2006/relationships/table" Target="../tables/table10.xml"/><Relationship Id="rId11" Type="http://schemas.openxmlformats.org/officeDocument/2006/relationships/table" Target="../tables/table15.xml"/><Relationship Id="rId5" Type="http://schemas.openxmlformats.org/officeDocument/2006/relationships/table" Target="../tables/table9.xml"/><Relationship Id="rId15" Type="http://schemas.openxmlformats.org/officeDocument/2006/relationships/table" Target="../tables/table19.xml"/><Relationship Id="rId10" Type="http://schemas.openxmlformats.org/officeDocument/2006/relationships/table" Target="../tables/table14.xml"/><Relationship Id="rId19" Type="http://schemas.openxmlformats.org/officeDocument/2006/relationships/table" Target="../tables/table23.xml"/><Relationship Id="rId4" Type="http://schemas.openxmlformats.org/officeDocument/2006/relationships/table" Target="../tables/table8.xml"/><Relationship Id="rId9" Type="http://schemas.openxmlformats.org/officeDocument/2006/relationships/table" Target="../tables/table13.xml"/><Relationship Id="rId1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pageSetUpPr autoPageBreaks="0" fitToPage="1"/>
  </sheetPr>
  <dimension ref="A1:P22"/>
  <sheetViews>
    <sheetView showGridLines="0" tabSelected="1" zoomScaleNormal="100" workbookViewId="0">
      <selection activeCell="B1" sqref="B1"/>
    </sheetView>
  </sheetViews>
  <sheetFormatPr defaultColWidth="9.140625" defaultRowHeight="13.35" customHeight="1" x14ac:dyDescent="0.25"/>
  <cols>
    <col min="1" max="1" width="16.5703125" style="90" customWidth="1"/>
    <col min="2" max="2" width="19.42578125" style="90" customWidth="1"/>
    <col min="3" max="3" width="10.42578125" style="90" customWidth="1"/>
    <col min="4" max="4" width="3.42578125" style="90" customWidth="1"/>
    <col min="5" max="5" width="5.5703125" style="90" customWidth="1"/>
    <col min="6" max="12" width="8.140625" style="90" customWidth="1"/>
    <col min="13" max="13" width="0.5703125" style="90" customWidth="1"/>
    <col min="14" max="14" width="14.42578125" style="90" customWidth="1"/>
    <col min="15" max="15" width="10.42578125" style="90" customWidth="1"/>
    <col min="16" max="16" width="9.140625" style="90" customWidth="1"/>
    <col min="17" max="16384" width="9.140625" style="90"/>
  </cols>
  <sheetData>
    <row r="1" spans="1:16" s="91" customFormat="1" ht="34.5" customHeight="1" x14ac:dyDescent="0.25">
      <c r="A1" s="88" t="s">
        <v>98</v>
      </c>
      <c r="B1" s="89" t="s">
        <v>71</v>
      </c>
      <c r="C1" s="127" t="str">
        <f ca="1">BudgetName&amp;" INTERACTIVE BUDGET"</f>
        <v>John Smith 2017 INTERACTIVE BUDGET</v>
      </c>
      <c r="D1" s="127"/>
      <c r="E1" s="127"/>
      <c r="F1" s="127"/>
      <c r="G1" s="127"/>
      <c r="H1" s="127"/>
      <c r="I1" s="127"/>
      <c r="J1" s="127"/>
      <c r="K1" s="127"/>
      <c r="L1" s="127"/>
      <c r="M1" s="127"/>
      <c r="N1" s="127"/>
      <c r="O1" s="127"/>
      <c r="P1" s="127"/>
    </row>
    <row r="2" spans="1:16" ht="14.45" customHeight="1" x14ac:dyDescent="0.25">
      <c r="A2" s="53"/>
      <c r="B2" s="53"/>
      <c r="C2" s="53"/>
      <c r="D2" s="53"/>
      <c r="E2" s="53"/>
      <c r="F2" s="53"/>
      <c r="G2" s="53"/>
      <c r="H2" s="53"/>
      <c r="I2" s="53"/>
      <c r="J2" s="53"/>
      <c r="K2" s="53"/>
      <c r="L2" s="53"/>
      <c r="M2" s="53"/>
      <c r="N2" s="53"/>
      <c r="O2" s="53"/>
    </row>
    <row r="3" spans="1:16" s="92" customFormat="1" ht="14.45" customHeight="1" x14ac:dyDescent="0.25">
      <c r="A3" s="128" t="s">
        <v>95</v>
      </c>
      <c r="B3" s="129">
        <f>INDEX(Total_Income,1,MATCH(dashboard_period,MonthNames,0))</f>
        <v>2000</v>
      </c>
      <c r="E3" s="93"/>
      <c r="F3" s="93" t="str">
        <f>"Cash flow through: " &amp;dashboard_period</f>
        <v>Cash flow through: Jan</v>
      </c>
      <c r="G3" s="93"/>
      <c r="H3" s="93"/>
      <c r="I3" s="93" t="str">
        <f>SummarySpending[[#Headers],[% of Income]]&amp; ": " &amp;dashboard_period</f>
        <v>% of Income: Jan</v>
      </c>
      <c r="J3" s="93"/>
      <c r="K3" s="93"/>
      <c r="L3" s="93"/>
      <c r="M3" s="93"/>
      <c r="N3" s="108" t="str">
        <f>"Total Spending Summary " &amp; dashboard_period</f>
        <v>Total Spending Summary Jan</v>
      </c>
      <c r="O3" s="101"/>
      <c r="P3" s="102"/>
    </row>
    <row r="4" spans="1:16" s="92" customFormat="1" ht="14.45" customHeight="1" x14ac:dyDescent="0.25">
      <c r="A4" s="128"/>
      <c r="B4" s="129"/>
      <c r="E4" s="78"/>
      <c r="F4" s="78"/>
      <c r="G4" s="78"/>
      <c r="H4" s="78"/>
      <c r="I4" s="78"/>
      <c r="J4" s="78"/>
      <c r="K4" s="78"/>
      <c r="L4" s="78"/>
      <c r="M4" s="78"/>
      <c r="N4" s="103" t="s">
        <v>4</v>
      </c>
      <c r="O4" s="104" t="s">
        <v>8</v>
      </c>
      <c r="P4" s="105" t="s">
        <v>93</v>
      </c>
    </row>
    <row r="5" spans="1:16" s="92" customFormat="1" ht="14.45" customHeight="1" x14ac:dyDescent="0.25">
      <c r="A5" s="128"/>
      <c r="B5" s="129"/>
      <c r="E5" s="93"/>
      <c r="F5" s="93"/>
      <c r="G5" s="93"/>
      <c r="H5" s="93"/>
      <c r="I5" s="93"/>
      <c r="J5" s="93"/>
      <c r="K5" s="93"/>
      <c r="L5" s="93"/>
      <c r="M5" s="93"/>
      <c r="N5" s="103" t="s">
        <v>18</v>
      </c>
      <c r="O5" s="106">
        <f ca="1">INDIRECT("tblExpenseCategory_01[[#Totals],["&amp;dashboard_period&amp;"]]")</f>
        <v>150</v>
      </c>
      <c r="P5" s="107">
        <f ca="1">SummarySpending[[#This Row],[Total]]/INDIRECT("tblIncome["&amp;dashboard_period&amp;"]")</f>
        <v>7.4999999999999997E-2</v>
      </c>
    </row>
    <row r="6" spans="1:16" s="92" customFormat="1" ht="14.45" customHeight="1" x14ac:dyDescent="0.25">
      <c r="A6" s="128"/>
      <c r="B6" s="129"/>
      <c r="E6" s="93"/>
      <c r="F6" s="93"/>
      <c r="G6" s="93"/>
      <c r="H6" s="93"/>
      <c r="I6" s="93"/>
      <c r="J6" s="93"/>
      <c r="K6" s="93"/>
      <c r="L6" s="93"/>
      <c r="M6" s="93"/>
      <c r="N6" s="103" t="s">
        <v>29</v>
      </c>
      <c r="O6" s="106">
        <f ca="1">INDIRECT("tblExpenseCategory_02[[#Totals],["&amp;dashboard_period&amp;"]]")</f>
        <v>500</v>
      </c>
      <c r="P6" s="107">
        <f ca="1">SummarySpending[[#This Row],[Total]]/INDIRECT("tblIncome["&amp;dashboard_period&amp;"]")</f>
        <v>0.25</v>
      </c>
    </row>
    <row r="7" spans="1:16" s="92" customFormat="1" ht="14.45" customHeight="1" x14ac:dyDescent="0.25">
      <c r="A7" s="128" t="s">
        <v>96</v>
      </c>
      <c r="B7" s="129">
        <f>INDEX(Total_Expense,1,MATCH(dashboard_period,MonthNames,0))</f>
        <v>996</v>
      </c>
      <c r="E7" s="93"/>
      <c r="F7" s="93"/>
      <c r="G7" s="93"/>
      <c r="H7" s="93"/>
      <c r="I7" s="93"/>
      <c r="J7" s="93"/>
      <c r="K7" s="93"/>
      <c r="L7" s="93"/>
      <c r="M7" s="93"/>
      <c r="N7" s="103" t="s">
        <v>11</v>
      </c>
      <c r="O7" s="106">
        <f ca="1">INDIRECT("tblExpenseCategory_03[[#Totals],["&amp;dashboard_period&amp;"]]")</f>
        <v>0</v>
      </c>
      <c r="P7" s="107">
        <f ca="1">SummarySpending[[#This Row],[Total]]/INDIRECT("tblIncome["&amp;dashboard_period&amp;"]")</f>
        <v>0</v>
      </c>
    </row>
    <row r="8" spans="1:16" s="92" customFormat="1" ht="14.45" customHeight="1" x14ac:dyDescent="0.25">
      <c r="A8" s="128"/>
      <c r="B8" s="129"/>
      <c r="E8" s="93"/>
      <c r="F8" s="93"/>
      <c r="G8" s="93"/>
      <c r="H8" s="93"/>
      <c r="I8" s="93"/>
      <c r="J8" s="93"/>
      <c r="K8" s="93"/>
      <c r="L8" s="93"/>
      <c r="M8" s="93"/>
      <c r="N8" s="103" t="s">
        <v>19</v>
      </c>
      <c r="O8" s="106">
        <f ca="1">INDIRECT("tblExpenseCategory_04[[#Totals],["&amp;dashboard_period&amp;"]]")</f>
        <v>0</v>
      </c>
      <c r="P8" s="107">
        <f ca="1">SummarySpending[[#This Row],[Total]]/INDIRECT("tblIncome["&amp;dashboard_period&amp;"]")</f>
        <v>0</v>
      </c>
    </row>
    <row r="9" spans="1:16" s="92" customFormat="1" ht="14.45" customHeight="1" x14ac:dyDescent="0.25">
      <c r="A9" s="128"/>
      <c r="B9" s="129"/>
      <c r="E9" s="93"/>
      <c r="F9" s="93"/>
      <c r="G9" s="93"/>
      <c r="H9" s="93"/>
      <c r="I9" s="93"/>
      <c r="J9" s="93"/>
      <c r="K9" s="93"/>
      <c r="L9" s="93"/>
      <c r="M9" s="93"/>
      <c r="N9" s="103" t="s">
        <v>10</v>
      </c>
      <c r="O9" s="106">
        <f ca="1">INDIRECT("tblExpenseCategory_05[[#Totals],["&amp;dashboard_period&amp;"]]")</f>
        <v>50</v>
      </c>
      <c r="P9" s="107">
        <f ca="1">SummarySpending[[#This Row],[Total]]/INDIRECT("tblIncome["&amp;dashboard_period&amp;"]")</f>
        <v>2.5000000000000001E-2</v>
      </c>
    </row>
    <row r="10" spans="1:16" s="92" customFormat="1" ht="14.45" customHeight="1" x14ac:dyDescent="0.25">
      <c r="B10" s="129"/>
      <c r="E10" s="93"/>
      <c r="F10" s="93"/>
      <c r="G10" s="93"/>
      <c r="H10" s="93"/>
      <c r="I10" s="93"/>
      <c r="J10" s="93"/>
      <c r="K10" s="93"/>
      <c r="L10" s="93"/>
      <c r="M10" s="93"/>
      <c r="N10" s="103" t="s">
        <v>21</v>
      </c>
      <c r="O10" s="106">
        <f ca="1">INDIRECT("tblExpenseCategory_06[[#Totals],["&amp;dashboard_period&amp;"]]")</f>
        <v>296</v>
      </c>
      <c r="P10" s="107">
        <f ca="1">SummarySpending[[#This Row],[Total]]/INDIRECT("tblIncome["&amp;dashboard_period&amp;"]")</f>
        <v>0.14799999999999999</v>
      </c>
    </row>
    <row r="11" spans="1:16" s="92" customFormat="1" ht="14.45" customHeight="1" x14ac:dyDescent="0.25">
      <c r="A11" s="128" t="s">
        <v>99</v>
      </c>
      <c r="B11" s="129">
        <f>INDEX(Net_Income,1,MATCH(dashboard_period,MonthNames,0))</f>
        <v>1004</v>
      </c>
      <c r="E11" s="93"/>
      <c r="F11" s="93"/>
      <c r="G11" s="93"/>
      <c r="H11" s="93"/>
      <c r="I11" s="93"/>
      <c r="J11" s="93"/>
      <c r="K11" s="93"/>
      <c r="L11" s="93"/>
      <c r="M11" s="93"/>
      <c r="N11" s="103" t="s">
        <v>20</v>
      </c>
      <c r="O11" s="106">
        <f ca="1">INDIRECT("tblExpenseCategory_07[[#Totals],["&amp;dashboard_period&amp;"]]")</f>
        <v>0</v>
      </c>
      <c r="P11" s="107">
        <f ca="1">SummarySpending[[#This Row],[Total]]/INDIRECT("tblIncome["&amp;dashboard_period&amp;"]")</f>
        <v>0</v>
      </c>
    </row>
    <row r="12" spans="1:16" s="92" customFormat="1" ht="14.45" customHeight="1" x14ac:dyDescent="0.25">
      <c r="A12" s="128"/>
      <c r="B12" s="129"/>
      <c r="E12" s="93"/>
      <c r="F12" s="93"/>
      <c r="G12" s="93"/>
      <c r="H12" s="93"/>
      <c r="I12" s="93"/>
      <c r="J12" s="93"/>
      <c r="K12" s="93"/>
      <c r="L12" s="93"/>
      <c r="M12" s="93"/>
      <c r="N12" s="103" t="s">
        <v>22</v>
      </c>
      <c r="O12" s="106">
        <f ca="1">INDIRECT("tblExpenseCategory_08[[#Totals],["&amp;dashboard_period&amp;"]]")</f>
        <v>0</v>
      </c>
      <c r="P12" s="107">
        <f ca="1">SummarySpending[[#This Row],[Total]]/INDIRECT("tblIncome["&amp;dashboard_period&amp;"]")</f>
        <v>0</v>
      </c>
    </row>
    <row r="13" spans="1:16" s="92" customFormat="1" ht="14.45" customHeight="1" x14ac:dyDescent="0.25">
      <c r="A13" s="128"/>
      <c r="B13" s="129"/>
      <c r="E13" s="93"/>
      <c r="F13" s="93"/>
      <c r="G13" s="93"/>
      <c r="H13" s="93"/>
      <c r="I13" s="93"/>
      <c r="J13" s="93"/>
      <c r="K13" s="93"/>
      <c r="L13" s="93"/>
      <c r="M13" s="93"/>
      <c r="N13" s="103" t="s">
        <v>25</v>
      </c>
      <c r="O13" s="106">
        <f ca="1">INDIRECT("tblExpenseCategory_09[[#Totals],["&amp;dashboard_period&amp;"]]")</f>
        <v>0</v>
      </c>
      <c r="P13" s="107">
        <f ca="1">SummarySpending[[#This Row],[Total]]/INDIRECT("tblIncome["&amp;dashboard_period&amp;"]")</f>
        <v>0</v>
      </c>
    </row>
    <row r="14" spans="1:16" s="92" customFormat="1" ht="14.45" customHeight="1" x14ac:dyDescent="0.25">
      <c r="E14" s="93"/>
      <c r="F14" s="93"/>
      <c r="G14" s="93"/>
      <c r="H14" s="93"/>
      <c r="I14" s="93"/>
      <c r="J14" s="93"/>
      <c r="K14" s="93"/>
      <c r="L14" s="93"/>
      <c r="M14" s="93"/>
      <c r="N14" s="103" t="s">
        <v>26</v>
      </c>
      <c r="O14" s="106">
        <f ca="1">INDIRECT("tblExpenseCategory_10[[#Totals],["&amp;dashboard_period&amp;"]]")</f>
        <v>0</v>
      </c>
      <c r="P14" s="107">
        <f ca="1">SummarySpending[[#This Row],[Total]]/INDIRECT("tblIncome["&amp;dashboard_period&amp;"]")</f>
        <v>0</v>
      </c>
    </row>
    <row r="15" spans="1:16" s="92" customFormat="1" ht="14.45" customHeight="1" x14ac:dyDescent="0.25">
      <c r="A15" s="128" t="s">
        <v>97</v>
      </c>
      <c r="B15" s="129">
        <f>INDEX(TOTAL_CASH_FLOW,1,MATCH(dashboard_period,MonthNames,0))</f>
        <v>2504</v>
      </c>
      <c r="E15" s="93"/>
      <c r="F15" s="93"/>
      <c r="G15" s="93"/>
      <c r="H15" s="93"/>
      <c r="I15" s="93"/>
      <c r="J15" s="93"/>
      <c r="K15" s="93"/>
      <c r="L15" s="93"/>
      <c r="M15" s="93"/>
      <c r="N15" s="103" t="s">
        <v>64</v>
      </c>
      <c r="O15" s="106">
        <f ca="1">INDIRECT("tblExpenseCategory_11[[#Totals],["&amp;dashboard_period&amp;"]]")</f>
        <v>0</v>
      </c>
      <c r="P15" s="107">
        <f ca="1">SummarySpending[[#This Row],[Total]]/INDIRECT("tblIncome["&amp;dashboard_period&amp;"]")</f>
        <v>0</v>
      </c>
    </row>
    <row r="16" spans="1:16" s="92" customFormat="1" ht="14.45" customHeight="1" x14ac:dyDescent="0.25">
      <c r="A16" s="128"/>
      <c r="B16" s="129"/>
      <c r="E16" s="93"/>
      <c r="F16" s="93"/>
      <c r="G16" s="93"/>
      <c r="H16" s="93"/>
      <c r="I16" s="93"/>
      <c r="J16" s="93"/>
      <c r="K16" s="93"/>
      <c r="L16" s="93"/>
      <c r="M16" s="93"/>
      <c r="N16" s="103" t="s">
        <v>12</v>
      </c>
      <c r="O16" s="106">
        <f ca="1">INDIRECT("tblExpenseCategory_12[[#Totals],["&amp;dashboard_period&amp;"]]")</f>
        <v>0</v>
      </c>
      <c r="P16" s="107">
        <f ca="1">SummarySpending[[#This Row],[Total]]/INDIRECT("tblIncome["&amp;dashboard_period&amp;"]")</f>
        <v>0</v>
      </c>
    </row>
    <row r="17" spans="1:16" ht="16.350000000000001" customHeight="1" x14ac:dyDescent="0.2">
      <c r="A17" s="128"/>
      <c r="B17" s="129"/>
      <c r="N17" s="109" t="s">
        <v>8</v>
      </c>
      <c r="O17" s="110">
        <f ca="1">SUBTOTAL(109,SummarySpending[Total])</f>
        <v>996</v>
      </c>
      <c r="P17" s="109"/>
    </row>
    <row r="18" spans="1:16" ht="16.350000000000001" customHeight="1" x14ac:dyDescent="0.25"/>
    <row r="19" spans="1:16" ht="16.350000000000001" customHeight="1" x14ac:dyDescent="0.25"/>
    <row r="20" spans="1:16" ht="16.350000000000001" customHeight="1" x14ac:dyDescent="0.25"/>
    <row r="21" spans="1:16" ht="16.350000000000001" customHeight="1" x14ac:dyDescent="0.25"/>
    <row r="22" spans="1:16" ht="16.350000000000001" customHeight="1" x14ac:dyDescent="0.25"/>
  </sheetData>
  <mergeCells count="9">
    <mergeCell ref="C1:P1"/>
    <mergeCell ref="A7:A9"/>
    <mergeCell ref="A3:A6"/>
    <mergeCell ref="B3:B6"/>
    <mergeCell ref="A15:A17"/>
    <mergeCell ref="B15:B17"/>
    <mergeCell ref="A11:A13"/>
    <mergeCell ref="B11:B13"/>
    <mergeCell ref="B7:B10"/>
  </mergeCells>
  <dataValidations count="2">
    <dataValidation type="list" allowBlank="1" showInputMessage="1" showErrorMessage="1" sqref="B1">
      <formula1>MonthNames</formula1>
    </dataValidation>
    <dataValidation type="list" allowBlank="1" showInputMessage="1" showErrorMessage="1" sqref="N5:N16">
      <formula1>CategoryLookup</formula1>
    </dataValidation>
  </dataValidations>
  <printOptions horizontalCentered="1"/>
  <pageMargins left="0.5" right="0.5" top="0.5" bottom="0.5" header="0" footer="0"/>
  <pageSetup scale="88" orientation="landscape" r:id="rId1"/>
  <drawing r:id="rId2"/>
  <picture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1013"/>
  <sheetViews>
    <sheetView showGridLines="0" zoomScale="110" zoomScaleNormal="110" zoomScaleSheetLayoutView="100" workbookViewId="0">
      <selection activeCell="J7" sqref="J7"/>
    </sheetView>
  </sheetViews>
  <sheetFormatPr defaultRowHeight="15" x14ac:dyDescent="0.25"/>
  <cols>
    <col min="1" max="1" width="14.42578125" style="3" customWidth="1"/>
    <col min="2" max="2" width="11.5703125" style="3" customWidth="1"/>
    <col min="3" max="3" width="2" style="10" customWidth="1"/>
    <col min="4" max="4" width="9" style="5" customWidth="1"/>
    <col min="5" max="5" width="9.85546875" style="16" customWidth="1"/>
    <col min="6" max="6" width="33.5703125" style="32" customWidth="1"/>
    <col min="7" max="7" width="17.5703125" customWidth="1"/>
    <col min="8" max="9" width="14.85546875" style="20" customWidth="1"/>
    <col min="10" max="10" width="16.85546875" style="22" customWidth="1"/>
    <col min="11" max="11" width="7.42578125" style="50" customWidth="1"/>
    <col min="12" max="12" width="10.140625" style="50" customWidth="1"/>
    <col min="13" max="13" width="12.5703125" style="70" customWidth="1"/>
    <col min="14" max="14" width="11.5703125" style="70" customWidth="1"/>
  </cols>
  <sheetData>
    <row r="1" spans="1:14" ht="33.75" x14ac:dyDescent="0.25">
      <c r="A1" s="131" t="s">
        <v>110</v>
      </c>
      <c r="B1" s="131"/>
      <c r="C1" s="131"/>
      <c r="D1" s="25" t="s">
        <v>0</v>
      </c>
      <c r="E1" s="13"/>
      <c r="F1" s="130">
        <f>SUM(RegisterChk[Deposit (+)])-SUM(RegisterChk[Withdrawal (-)])</f>
        <v>3004</v>
      </c>
      <c r="G1" s="27"/>
      <c r="H1" s="17"/>
      <c r="I1" s="26"/>
      <c r="J1" s="26"/>
      <c r="K1" s="47"/>
      <c r="L1" s="47"/>
      <c r="M1" s="47"/>
      <c r="N1" s="47"/>
    </row>
    <row r="2" spans="1:14" ht="33.75" x14ac:dyDescent="0.25">
      <c r="A2" s="131"/>
      <c r="B2" s="131"/>
      <c r="C2" s="131"/>
      <c r="D2" s="4"/>
      <c r="E2" s="14"/>
      <c r="F2" s="130"/>
      <c r="G2" s="27"/>
      <c r="H2" s="18"/>
      <c r="I2" s="26"/>
      <c r="J2" s="26"/>
      <c r="K2" s="47"/>
      <c r="L2" s="47"/>
      <c r="M2" s="47"/>
      <c r="N2" s="47"/>
    </row>
    <row r="3" spans="1:14" ht="30" x14ac:dyDescent="0.3">
      <c r="A3" s="24" t="s">
        <v>1</v>
      </c>
      <c r="B3" s="2"/>
      <c r="C3" s="6"/>
      <c r="D3" s="23" t="s">
        <v>69</v>
      </c>
      <c r="E3" s="30" t="s">
        <v>2</v>
      </c>
      <c r="F3" s="23" t="s">
        <v>3</v>
      </c>
      <c r="G3" s="29" t="s">
        <v>4</v>
      </c>
      <c r="H3" s="31" t="s">
        <v>5</v>
      </c>
      <c r="I3" s="31" t="s">
        <v>6</v>
      </c>
      <c r="J3" s="31" t="s">
        <v>7</v>
      </c>
      <c r="K3" s="48" t="s">
        <v>13</v>
      </c>
      <c r="L3" s="48" t="s">
        <v>14</v>
      </c>
      <c r="M3" s="67" t="s">
        <v>83</v>
      </c>
      <c r="N3" s="67" t="s">
        <v>107</v>
      </c>
    </row>
    <row r="4" spans="1:14" x14ac:dyDescent="0.25">
      <c r="A4" s="33" t="s">
        <v>4</v>
      </c>
      <c r="B4" s="34" t="s">
        <v>8</v>
      </c>
      <c r="C4" s="7"/>
      <c r="D4" s="1"/>
      <c r="E4" s="15">
        <v>42736</v>
      </c>
      <c r="F4" s="45" t="s">
        <v>63</v>
      </c>
      <c r="G4" s="46" t="s">
        <v>23</v>
      </c>
      <c r="H4" s="19"/>
      <c r="I4" s="19">
        <v>2000</v>
      </c>
      <c r="J4" s="21">
        <f>RegisterChk[[#This Row],[Deposit (+)]]</f>
        <v>2000</v>
      </c>
      <c r="K4" s="49" t="s">
        <v>67</v>
      </c>
      <c r="L4" s="49" t="s">
        <v>67</v>
      </c>
      <c r="M4" s="69" t="str">
        <f>TEXT(RegisterChk[[#This Row],[Date]],"mmm")</f>
        <v>Jan</v>
      </c>
      <c r="N4" s="69" t="str">
        <f>TEXT(RegisterChk[[#This Row],[Date]],"yyyy")</f>
        <v>2017</v>
      </c>
    </row>
    <row r="5" spans="1:14" x14ac:dyDescent="0.25">
      <c r="A5" s="33" t="s">
        <v>9</v>
      </c>
      <c r="B5" s="35">
        <f>SUMIF(RegisterChk[Category],"=" &amp;SummaryChk[[#This Row],[Category]],RegisterChk[Deposit (+)])</f>
        <v>2000</v>
      </c>
      <c r="C5" s="8"/>
      <c r="D5" s="43" t="s">
        <v>62</v>
      </c>
      <c r="E5" s="16">
        <v>42736</v>
      </c>
      <c r="F5" s="125" t="s">
        <v>114</v>
      </c>
      <c r="G5" s="119" t="s">
        <v>29</v>
      </c>
      <c r="H5" s="20">
        <v>500</v>
      </c>
      <c r="J5" s="22">
        <f>IF(ISBLANK(RegisterChk[[#This Row],[Withdrawal (-)]]),J4+RegisterChk[[#This Row],[Deposit (+)]],J4-RegisterChk[[#This Row],[Withdrawal (-)]])</f>
        <v>1500</v>
      </c>
      <c r="K5" s="120"/>
      <c r="L5" s="121"/>
      <c r="M5" s="69" t="str">
        <f>TEXT(RegisterChk[[#This Row],[Date]],"mmm")</f>
        <v>Jan</v>
      </c>
      <c r="N5" s="69" t="str">
        <f>TEXT(RegisterChk[[#This Row],[Date]],"yyyy")</f>
        <v>2017</v>
      </c>
    </row>
    <row r="6" spans="1:14" x14ac:dyDescent="0.25">
      <c r="A6" s="33" t="s">
        <v>18</v>
      </c>
      <c r="B6" s="35">
        <f>SUMIF(RegisterChk[Category],"=" &amp;SummaryChk[[#This Row],[Category]],RegisterChk[Withdrawal (-)])</f>
        <v>150</v>
      </c>
      <c r="C6" s="8"/>
      <c r="D6" s="43" t="s">
        <v>35</v>
      </c>
      <c r="E6" s="16">
        <v>42750</v>
      </c>
      <c r="F6" s="125" t="s">
        <v>115</v>
      </c>
      <c r="G6" s="119" t="s">
        <v>18</v>
      </c>
      <c r="H6" s="20">
        <v>150</v>
      </c>
      <c r="J6" s="22">
        <f>IF(ISBLANK(RegisterChk[[#This Row],[Withdrawal (-)]]),J5+RegisterChk[[#This Row],[Deposit (+)]],J5-RegisterChk[[#This Row],[Withdrawal (-)]])</f>
        <v>1350</v>
      </c>
      <c r="K6" s="120"/>
      <c r="L6" s="121"/>
      <c r="M6" s="69" t="str">
        <f>TEXT(RegisterChk[[#This Row],[Date]],"mmm")</f>
        <v>Jan</v>
      </c>
      <c r="N6" s="69" t="str">
        <f>TEXT(RegisterChk[[#This Row],[Date]],"yyyy")</f>
        <v>2017</v>
      </c>
    </row>
    <row r="7" spans="1:14" x14ac:dyDescent="0.25">
      <c r="A7" s="33" t="s">
        <v>29</v>
      </c>
      <c r="B7" s="35">
        <f>SUMIF(RegisterChk[Category],"=" &amp;SummaryChk[[#This Row],[Category]],RegisterChk[Withdrawal (-)])</f>
        <v>500</v>
      </c>
      <c r="C7" s="8"/>
      <c r="D7" s="43" t="s">
        <v>33</v>
      </c>
      <c r="E7" s="16">
        <v>42750</v>
      </c>
      <c r="F7" s="125" t="s">
        <v>116</v>
      </c>
      <c r="G7" s="119" t="s">
        <v>9</v>
      </c>
      <c r="I7" s="20">
        <v>2000</v>
      </c>
      <c r="J7" s="22">
        <f>IF(ISBLANK(RegisterChk[[#This Row],[Withdrawal (-)]]),J6+RegisterChk[[#This Row],[Deposit (+)]],J6-RegisterChk[[#This Row],[Withdrawal (-)]])</f>
        <v>3350</v>
      </c>
      <c r="K7" s="120"/>
      <c r="L7" s="121"/>
      <c r="M7" s="69" t="str">
        <f>TEXT(RegisterChk[[#This Row],[Date]],"mmm")</f>
        <v>Jan</v>
      </c>
      <c r="N7" s="69" t="str">
        <f>TEXT(RegisterChk[[#This Row],[Date]],"yyyy")</f>
        <v>2017</v>
      </c>
    </row>
    <row r="8" spans="1:14" x14ac:dyDescent="0.25">
      <c r="A8" s="33" t="s">
        <v>11</v>
      </c>
      <c r="B8" s="35">
        <f>SUMIF(RegisterChk[Category],"=" &amp;SummaryChk[[#This Row],[Category]],RegisterChk[Withdrawal (-)])</f>
        <v>0</v>
      </c>
      <c r="C8" s="8"/>
      <c r="D8" s="43" t="s">
        <v>30</v>
      </c>
      <c r="E8" s="16">
        <v>42758</v>
      </c>
      <c r="F8" s="125" t="s">
        <v>117</v>
      </c>
      <c r="G8" s="119" t="s">
        <v>21</v>
      </c>
      <c r="H8" s="20">
        <v>121</v>
      </c>
      <c r="J8" s="22">
        <f>IF(ISBLANK(RegisterChk[[#This Row],[Withdrawal (-)]]),J7+RegisterChk[[#This Row],[Deposit (+)]],J7-RegisterChk[[#This Row],[Withdrawal (-)]])</f>
        <v>3229</v>
      </c>
      <c r="K8" s="120"/>
      <c r="L8" s="121"/>
      <c r="M8" s="69" t="str">
        <f>TEXT(RegisterChk[[#This Row],[Date]],"mmm")</f>
        <v>Jan</v>
      </c>
      <c r="N8" s="69" t="str">
        <f>TEXT(RegisterChk[[#This Row],[Date]],"yyyy")</f>
        <v>2017</v>
      </c>
    </row>
    <row r="9" spans="1:14" x14ac:dyDescent="0.25">
      <c r="A9" s="33" t="s">
        <v>19</v>
      </c>
      <c r="B9" s="35">
        <f>SUMIF(RegisterChk[Category],"=" &amp;SummaryChk[[#This Row],[Category]],RegisterChk[Withdrawal (-)])</f>
        <v>0</v>
      </c>
      <c r="C9" s="8"/>
      <c r="D9" s="43" t="s">
        <v>30</v>
      </c>
      <c r="E9" s="16">
        <v>42758</v>
      </c>
      <c r="F9" s="125" t="s">
        <v>118</v>
      </c>
      <c r="G9" s="119" t="s">
        <v>19</v>
      </c>
      <c r="J9" s="22">
        <f>IF(ISBLANK(RegisterChk[[#This Row],[Withdrawal (-)]]),J8+RegisterChk[[#This Row],[Deposit (+)]],J8-RegisterChk[[#This Row],[Withdrawal (-)]])</f>
        <v>3229</v>
      </c>
      <c r="K9" s="120"/>
      <c r="L9" s="121"/>
      <c r="M9" s="69" t="str">
        <f>TEXT(RegisterChk[[#This Row],[Date]],"mmm")</f>
        <v>Jan</v>
      </c>
      <c r="N9" s="69" t="str">
        <f>TEXT(RegisterChk[[#This Row],[Date]],"yyyy")</f>
        <v>2017</v>
      </c>
    </row>
    <row r="10" spans="1:14" x14ac:dyDescent="0.25">
      <c r="A10" s="36" t="s">
        <v>10</v>
      </c>
      <c r="B10" s="37">
        <f>SUMIF(RegisterChk[Category],"=" &amp;SummaryChk[[#This Row],[Category]],RegisterChk[Withdrawal (-)])</f>
        <v>50</v>
      </c>
      <c r="C10" s="9"/>
      <c r="D10" s="43" t="s">
        <v>30</v>
      </c>
      <c r="E10" s="16">
        <v>42758</v>
      </c>
      <c r="F10" s="125" t="s">
        <v>119</v>
      </c>
      <c r="G10" s="119" t="s">
        <v>10</v>
      </c>
      <c r="H10" s="20">
        <v>50</v>
      </c>
      <c r="J10" s="22">
        <f>IF(ISBLANK(RegisterChk[[#This Row],[Withdrawal (-)]]),J9+RegisterChk[[#This Row],[Deposit (+)]],J9-RegisterChk[[#This Row],[Withdrawal (-)]])</f>
        <v>3179</v>
      </c>
      <c r="K10" s="120"/>
      <c r="L10" s="121"/>
      <c r="M10" s="69" t="str">
        <f>TEXT(RegisterChk[[#This Row],[Date]],"mmm")</f>
        <v>Jan</v>
      </c>
      <c r="N10" s="69" t="str">
        <f>TEXT(RegisterChk[[#This Row],[Date]],"yyyy")</f>
        <v>2017</v>
      </c>
    </row>
    <row r="11" spans="1:14" x14ac:dyDescent="0.25">
      <c r="A11" s="38" t="s">
        <v>21</v>
      </c>
      <c r="B11" s="39">
        <f>SUMIF(RegisterChk[Category],"=" &amp;SummaryChk[[#This Row],[Category]],RegisterChk[Withdrawal (-)])</f>
        <v>296</v>
      </c>
      <c r="D11" s="43" t="s">
        <v>62</v>
      </c>
      <c r="E11" s="16">
        <v>42758</v>
      </c>
      <c r="F11" s="125" t="s">
        <v>120</v>
      </c>
      <c r="G11" s="119" t="s">
        <v>21</v>
      </c>
      <c r="H11" s="20">
        <v>100</v>
      </c>
      <c r="J11" s="22">
        <f>IF(ISBLANK(RegisterChk[[#This Row],[Withdrawal (-)]]),J10+RegisterChk[[#This Row],[Deposit (+)]],J10-RegisterChk[[#This Row],[Withdrawal (-)]])</f>
        <v>3079</v>
      </c>
      <c r="K11" s="120"/>
      <c r="L11" s="121"/>
      <c r="M11" s="69" t="str">
        <f>TEXT(RegisterChk[[#This Row],[Date]],"mmm")</f>
        <v>Jan</v>
      </c>
      <c r="N11" s="69" t="str">
        <f>TEXT(RegisterChk[[#This Row],[Date]],"yyyy")</f>
        <v>2017</v>
      </c>
    </row>
    <row r="12" spans="1:14" x14ac:dyDescent="0.25">
      <c r="A12" s="40" t="s">
        <v>20</v>
      </c>
      <c r="B12" s="41">
        <f>SUMIF(RegisterChk[Category],"=" &amp;SummaryChk[[#This Row],[Category]],RegisterChk[Withdrawal (-)])</f>
        <v>0</v>
      </c>
      <c r="D12" s="43" t="s">
        <v>62</v>
      </c>
      <c r="E12" s="16">
        <v>42766</v>
      </c>
      <c r="F12" s="125" t="s">
        <v>121</v>
      </c>
      <c r="G12" s="119" t="s">
        <v>21</v>
      </c>
      <c r="H12" s="20">
        <v>75</v>
      </c>
      <c r="J12" s="22">
        <f>IF(ISBLANK(RegisterChk[[#This Row],[Withdrawal (-)]]),J11+RegisterChk[[#This Row],[Deposit (+)]],J11-RegisterChk[[#This Row],[Withdrawal (-)]])</f>
        <v>3004</v>
      </c>
      <c r="K12" s="120"/>
      <c r="L12" s="121"/>
      <c r="M12" s="69" t="str">
        <f>TEXT(RegisterChk[[#This Row],[Date]],"mmm")</f>
        <v>Jan</v>
      </c>
      <c r="N12" s="69" t="str">
        <f>TEXT(RegisterChk[[#This Row],[Date]],"yyyy")</f>
        <v>2017</v>
      </c>
    </row>
    <row r="13" spans="1:14" x14ac:dyDescent="0.25">
      <c r="A13" s="40" t="s">
        <v>22</v>
      </c>
      <c r="B13" s="41">
        <f>SUMIF(RegisterChk[Category],"=" &amp;SummaryChk[[#This Row],[Category]],RegisterChk[Withdrawal (-)])</f>
        <v>0</v>
      </c>
    </row>
    <row r="14" spans="1:14" x14ac:dyDescent="0.25">
      <c r="A14" s="40" t="s">
        <v>25</v>
      </c>
      <c r="B14" s="41">
        <f>SUMIF(RegisterChk[Category],"=" &amp;SummaryChk[[#This Row],[Category]],RegisterChk[Withdrawal (-)])</f>
        <v>0</v>
      </c>
    </row>
    <row r="15" spans="1:14" x14ac:dyDescent="0.25">
      <c r="A15" s="40" t="s">
        <v>26</v>
      </c>
      <c r="B15" s="41">
        <f>SUMIF(RegisterChk[Category],"=" &amp;SummaryChk[[#This Row],[Category]],RegisterChk[Withdrawal (-)])</f>
        <v>0</v>
      </c>
    </row>
    <row r="16" spans="1:14" x14ac:dyDescent="0.25">
      <c r="A16" s="40" t="s">
        <v>64</v>
      </c>
      <c r="B16" s="41">
        <f>SUMIF(RegisterChk[Category],"=" &amp;SummaryChk[[#This Row],[Category]],RegisterChk[Withdrawal (-)])</f>
        <v>0</v>
      </c>
    </row>
    <row r="17" spans="1:2" x14ac:dyDescent="0.25">
      <c r="A17" s="40" t="s">
        <v>12</v>
      </c>
      <c r="B17" s="41">
        <f>SUMIF(RegisterChk[Category],"=" &amp;SummaryChk[[#This Row],[Category]],RegisterChk[Withdrawal (-)])</f>
        <v>0</v>
      </c>
    </row>
    <row r="19" spans="1:2" x14ac:dyDescent="0.25">
      <c r="A19" s="11"/>
    </row>
    <row r="20" spans="1:2" x14ac:dyDescent="0.25">
      <c r="A20" s="11"/>
    </row>
    <row r="21" spans="1:2" x14ac:dyDescent="0.25">
      <c r="A21" s="11"/>
    </row>
    <row r="22" spans="1:2" x14ac:dyDescent="0.25">
      <c r="A22" s="11"/>
    </row>
    <row r="23" spans="1:2" x14ac:dyDescent="0.25">
      <c r="A23" s="12"/>
    </row>
    <row r="24" spans="1:2" x14ac:dyDescent="0.25">
      <c r="A24" s="11"/>
    </row>
    <row r="914" ht="28.5" customHeight="1" x14ac:dyDescent="0.25"/>
    <row r="953" ht="32.25" customHeight="1" x14ac:dyDescent="0.25"/>
    <row r="1012" ht="30" customHeight="1" x14ac:dyDescent="0.25"/>
    <row r="1013" ht="28.5" customHeight="1" x14ac:dyDescent="0.25"/>
  </sheetData>
  <autoFilter ref="A1:C3">
    <filterColumn colId="0" showButton="0"/>
    <filterColumn colId="1" showButton="0"/>
  </autoFilter>
  <mergeCells count="2">
    <mergeCell ref="F1:F2"/>
    <mergeCell ref="A1:C2"/>
  </mergeCells>
  <conditionalFormatting sqref="J4:J12">
    <cfRule type="expression" dxfId="772" priority="5">
      <formula>J4&lt;0</formula>
    </cfRule>
  </conditionalFormatting>
  <dataValidations count="2">
    <dataValidation type="list" allowBlank="1" showInputMessage="1" showErrorMessage="1" sqref="A5:A17">
      <formula1>CategoryLookup</formula1>
    </dataValidation>
    <dataValidation type="list" errorStyle="warning" allowBlank="1" showInputMessage="1" errorTitle="Whoops" sqref="G4:G12">
      <formula1>CategoryLookup</formula1>
    </dataValidation>
  </dataValidations>
  <printOptions horizontalCentered="1"/>
  <pageMargins left="0.25" right="0.25" top="0.75" bottom="0.75" header="0.3" footer="0.3"/>
  <pageSetup fitToHeight="0" orientation="portrait" r:id="rId1"/>
  <headerFooter differentFirst="1"/>
  <ignoredErrors>
    <ignoredError sqref="J4" calculatedColumn="1"/>
  </ignoredErrors>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26"/>
  <sheetViews>
    <sheetView showGridLines="0" zoomScaleNormal="100" workbookViewId="0">
      <selection activeCell="I6" sqref="I6"/>
    </sheetView>
  </sheetViews>
  <sheetFormatPr defaultRowHeight="18.75" customHeight="1" x14ac:dyDescent="0.25"/>
  <cols>
    <col min="1" max="1" width="14.5703125" style="3" customWidth="1"/>
    <col min="2" max="2" width="11.5703125" style="3" customWidth="1"/>
    <col min="3" max="3" width="2" style="10" customWidth="1"/>
    <col min="4" max="4" width="9" style="5" customWidth="1"/>
    <col min="5" max="5" width="9.85546875" style="16" customWidth="1"/>
    <col min="6" max="6" width="33.5703125" style="32" customWidth="1"/>
    <col min="7" max="7" width="17.5703125" customWidth="1"/>
    <col min="8" max="9" width="14.85546875" style="20" customWidth="1"/>
    <col min="10" max="11" width="16.85546875" style="22" customWidth="1"/>
    <col min="12" max="12" width="7.42578125" style="50" customWidth="1"/>
    <col min="13" max="13" width="10.140625" style="50" customWidth="1"/>
    <col min="14" max="14" width="14.42578125" style="70" customWidth="1"/>
  </cols>
  <sheetData>
    <row r="1" spans="1:14" ht="25.5" customHeight="1" x14ac:dyDescent="0.25">
      <c r="A1" s="131" t="s">
        <v>111</v>
      </c>
      <c r="B1" s="131"/>
      <c r="C1" s="131"/>
      <c r="D1" s="25" t="s">
        <v>0</v>
      </c>
      <c r="E1" s="13"/>
      <c r="F1" s="130">
        <f>SUM(RegisterCC1[Amount Due (-)])-SUM(RegisterCC1[Payment/Credit (+)])</f>
        <v>1900</v>
      </c>
      <c r="G1" s="27"/>
      <c r="H1" s="17"/>
      <c r="I1" s="26"/>
      <c r="J1" s="25" t="s">
        <v>16</v>
      </c>
      <c r="K1" s="132">
        <v>5000</v>
      </c>
      <c r="L1" s="47"/>
      <c r="M1" s="47"/>
      <c r="N1" s="47"/>
    </row>
    <row r="2" spans="1:14" ht="28.5" customHeight="1" x14ac:dyDescent="0.25">
      <c r="A2" s="131"/>
      <c r="B2" s="131"/>
      <c r="C2" s="131"/>
      <c r="D2" s="4"/>
      <c r="E2" s="14"/>
      <c r="F2" s="130"/>
      <c r="G2" s="27"/>
      <c r="H2" s="18"/>
      <c r="I2" s="26"/>
      <c r="J2" s="26"/>
      <c r="K2" s="132"/>
      <c r="L2" s="47"/>
      <c r="M2" s="47"/>
      <c r="N2" s="47"/>
    </row>
    <row r="3" spans="1:14" ht="41.25" customHeight="1" x14ac:dyDescent="0.3">
      <c r="A3" s="24" t="s">
        <v>1</v>
      </c>
      <c r="B3" s="2"/>
      <c r="C3" s="6"/>
      <c r="D3" s="23" t="s">
        <v>69</v>
      </c>
      <c r="E3" s="30" t="s">
        <v>2</v>
      </c>
      <c r="F3" s="23" t="s">
        <v>3</v>
      </c>
      <c r="G3" s="29" t="s">
        <v>4</v>
      </c>
      <c r="H3" s="42" t="s">
        <v>27</v>
      </c>
      <c r="I3" s="42" t="s">
        <v>28</v>
      </c>
      <c r="J3" s="31" t="s">
        <v>7</v>
      </c>
      <c r="K3" s="31" t="s">
        <v>15</v>
      </c>
      <c r="L3" s="48" t="s">
        <v>13</v>
      </c>
      <c r="M3" s="48" t="s">
        <v>14</v>
      </c>
      <c r="N3" s="67" t="s">
        <v>83</v>
      </c>
    </row>
    <row r="4" spans="1:14" ht="18.75" customHeight="1" x14ac:dyDescent="0.25">
      <c r="A4" s="33" t="s">
        <v>4</v>
      </c>
      <c r="B4" s="34" t="s">
        <v>8</v>
      </c>
      <c r="C4" s="7"/>
      <c r="D4" s="1"/>
      <c r="E4" s="15">
        <v>42736</v>
      </c>
      <c r="F4" s="45" t="s">
        <v>113</v>
      </c>
      <c r="G4" s="46" t="s">
        <v>23</v>
      </c>
      <c r="H4" s="19">
        <v>2000</v>
      </c>
      <c r="I4" s="19"/>
      <c r="J4" s="21">
        <f>RegisterCC1[[#This Row],[Amount Due (-)]]</f>
        <v>2000</v>
      </c>
      <c r="K4" s="21">
        <v>5000</v>
      </c>
      <c r="L4" s="49" t="s">
        <v>67</v>
      </c>
      <c r="M4" s="49" t="s">
        <v>67</v>
      </c>
      <c r="N4" s="69" t="str">
        <f>TEXT(RegisterCC1[[#This Row],[Date]],"mmm")</f>
        <v>Jan</v>
      </c>
    </row>
    <row r="5" spans="1:14" ht="18.75" customHeight="1" x14ac:dyDescent="0.25">
      <c r="A5" s="33" t="s">
        <v>9</v>
      </c>
      <c r="B5" s="35">
        <f>SUMIF(RegisterCC1[Category],"=" &amp;SummaryCC1[[#This Row],[Category]],RegisterCC1[Payment/Credit (+)])</f>
        <v>0</v>
      </c>
      <c r="C5" s="8"/>
      <c r="D5" s="43" t="s">
        <v>54</v>
      </c>
      <c r="E5" s="16">
        <v>42758</v>
      </c>
      <c r="F5" s="125" t="s">
        <v>120</v>
      </c>
      <c r="G5" s="119" t="s">
        <v>21</v>
      </c>
      <c r="I5" s="20">
        <v>100</v>
      </c>
      <c r="J5" s="22">
        <f>IF(ISBLANK(RegisterCC1[[#This Row],[Amount Due (-)]]),J4-RegisterCC1[[#This Row],[Payment/Credit (+)]],J4+RegisterCC1[[#This Row],[Amount Due (-)]])</f>
        <v>1900</v>
      </c>
      <c r="K5" s="126"/>
      <c r="L5" s="120"/>
      <c r="M5" s="121"/>
      <c r="N5" s="69" t="str">
        <f>TEXT(RegisterCC1[[#This Row],[Date]],"mmm")</f>
        <v>Jan</v>
      </c>
    </row>
    <row r="6" spans="1:14" ht="15" x14ac:dyDescent="0.25">
      <c r="A6" s="33" t="s">
        <v>18</v>
      </c>
      <c r="B6" s="35">
        <f>SUMIF(RegisterCC1[Category],"=" &amp;SummaryCC1[[#This Row],[Category]],RegisterCC1[Amount Due (-)])</f>
        <v>0</v>
      </c>
      <c r="C6" s="8"/>
    </row>
    <row r="7" spans="1:14" ht="18.75" customHeight="1" x14ac:dyDescent="0.25">
      <c r="A7" s="33" t="s">
        <v>29</v>
      </c>
      <c r="B7" s="35">
        <f>SUMIF(RegisterCC1[Category],"=" &amp;SummaryCC1[[#This Row],[Category]],RegisterCC1[Amount Due (-)])</f>
        <v>0</v>
      </c>
      <c r="C7" s="8"/>
    </row>
    <row r="8" spans="1:14" ht="15" x14ac:dyDescent="0.25">
      <c r="A8" s="33" t="s">
        <v>11</v>
      </c>
      <c r="B8" s="35">
        <f>SUMIF(RegisterCC1[Category],"=" &amp;SummaryCC1[[#This Row],[Category]],RegisterCC1[Amount Due (-)])</f>
        <v>0</v>
      </c>
      <c r="C8" s="8"/>
    </row>
    <row r="9" spans="1:14" ht="18.75" customHeight="1" x14ac:dyDescent="0.25">
      <c r="A9" s="33" t="s">
        <v>19</v>
      </c>
      <c r="B9" s="35">
        <f>SUMIF(RegisterCC1[Category],"=" &amp;SummaryCC1[[#This Row],[Category]],RegisterCC1[Amount Due (-)])</f>
        <v>0</v>
      </c>
      <c r="C9" s="8"/>
    </row>
    <row r="10" spans="1:14" ht="18.75" customHeight="1" x14ac:dyDescent="0.25">
      <c r="A10" s="36" t="s">
        <v>10</v>
      </c>
      <c r="B10" s="37">
        <f>SUMIF(RegisterCC1[Category],"=" &amp;SummaryCC1[[#This Row],[Category]],RegisterCC1[Amount Due (-)])</f>
        <v>0</v>
      </c>
      <c r="C10" s="9"/>
    </row>
    <row r="11" spans="1:14" ht="18.75" customHeight="1" x14ac:dyDescent="0.25">
      <c r="A11" s="38" t="s">
        <v>21</v>
      </c>
      <c r="B11" s="39">
        <f>SUMIF(RegisterCC1[Category],"=" &amp;SummaryCC1[[#This Row],[Category]],RegisterCC1[Amount Due (-)])</f>
        <v>0</v>
      </c>
    </row>
    <row r="12" spans="1:14" ht="18.75" customHeight="1" x14ac:dyDescent="0.25">
      <c r="A12" s="40" t="s">
        <v>20</v>
      </c>
      <c r="B12" s="41">
        <f>SUMIF(RegisterCC1[Category],"=" &amp;SummaryCC1[[#This Row],[Category]],RegisterCC1[Amount Due (-)])</f>
        <v>0</v>
      </c>
    </row>
    <row r="13" spans="1:14" ht="18.75" customHeight="1" x14ac:dyDescent="0.25">
      <c r="A13" s="40" t="s">
        <v>22</v>
      </c>
      <c r="B13" s="41">
        <f>SUMIF(RegisterCC1[Category],"=" &amp;SummaryCC1[[#This Row],[Category]],RegisterCC1[Amount Due (-)])</f>
        <v>0</v>
      </c>
    </row>
    <row r="14" spans="1:14" ht="18.75" customHeight="1" x14ac:dyDescent="0.25">
      <c r="A14" s="40" t="s">
        <v>25</v>
      </c>
      <c r="B14" s="41">
        <f>SUMIF(RegisterCC1[Category],"=" &amp;SummaryCC1[[#This Row],[Category]],RegisterCC1[Amount Due (-)])</f>
        <v>0</v>
      </c>
    </row>
    <row r="15" spans="1:14" ht="18.75" customHeight="1" x14ac:dyDescent="0.25">
      <c r="A15" s="40" t="s">
        <v>26</v>
      </c>
      <c r="B15" s="41">
        <f>SUMIF(RegisterCC1[Category],"=" &amp;SummaryCC1[[#This Row],[Category]],RegisterCC1[Amount Due (-)])</f>
        <v>0</v>
      </c>
    </row>
    <row r="16" spans="1:14" ht="18.75" customHeight="1" x14ac:dyDescent="0.25">
      <c r="A16" s="40" t="s">
        <v>64</v>
      </c>
      <c r="B16" s="41">
        <f>SUMIF(RegisterCC1[Category],"=" &amp;SummaryCC1[[#This Row],[Category]],RegisterCC1[Amount Due (-)])</f>
        <v>0</v>
      </c>
    </row>
    <row r="17" spans="1:2" ht="18.75" customHeight="1" x14ac:dyDescent="0.25">
      <c r="A17" s="40" t="s">
        <v>12</v>
      </c>
      <c r="B17" s="41">
        <f>SUMIF(RegisterCC1[Category],"=" &amp;SummaryCC1[[#This Row],[Category]],RegisterCC1[Amount Due (-)])</f>
        <v>0</v>
      </c>
    </row>
    <row r="18" spans="1:2" ht="18.75" customHeight="1" x14ac:dyDescent="0.25">
      <c r="A18" s="11"/>
    </row>
    <row r="19" spans="1:2" ht="18.75" customHeight="1" x14ac:dyDescent="0.25">
      <c r="A19" s="11"/>
    </row>
    <row r="20" spans="1:2" ht="18.75" customHeight="1" x14ac:dyDescent="0.25">
      <c r="A20" s="11"/>
    </row>
    <row r="21" spans="1:2" ht="18.75" customHeight="1" x14ac:dyDescent="0.25">
      <c r="A21" s="11"/>
    </row>
    <row r="22" spans="1:2" ht="18.75" customHeight="1" x14ac:dyDescent="0.25">
      <c r="A22" s="12"/>
    </row>
    <row r="23" spans="1:2" ht="18.75" customHeight="1" x14ac:dyDescent="0.25">
      <c r="A23" s="11"/>
    </row>
    <row r="26" spans="1:2" ht="15" x14ac:dyDescent="0.25"/>
  </sheetData>
  <mergeCells count="3">
    <mergeCell ref="F1:F2"/>
    <mergeCell ref="K1:K2"/>
    <mergeCell ref="A1:C2"/>
  </mergeCells>
  <conditionalFormatting sqref="J4:K5">
    <cfRule type="expression" dxfId="752" priority="2">
      <formula>J4&lt;0</formula>
    </cfRule>
  </conditionalFormatting>
  <dataValidations count="2">
    <dataValidation type="list" allowBlank="1" showInputMessage="1" showErrorMessage="1" sqref="A5:A17">
      <formula1>CategoryLookup</formula1>
    </dataValidation>
    <dataValidation type="list" errorStyle="warning" allowBlank="1" showInputMessage="1" errorTitle="Whoops" sqref="G4:G5">
      <formula1>CategoryLookup</formula1>
    </dataValidation>
  </dataValidations>
  <printOptions horizontalCentered="1"/>
  <pageMargins left="0.25" right="0.25" top="0.75" bottom="0.75" header="0.3" footer="0.3"/>
  <pageSetup fitToHeight="0" orientation="portrait" r:id="rId1"/>
  <headerFooter differentFirst="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118"/>
  <sheetViews>
    <sheetView showGridLines="0" zoomScaleNormal="100" workbookViewId="0">
      <selection activeCell="D6" sqref="D6"/>
    </sheetView>
  </sheetViews>
  <sheetFormatPr defaultRowHeight="18.75" customHeight="1" x14ac:dyDescent="0.25"/>
  <cols>
    <col min="1" max="1" width="14.5703125" style="3" customWidth="1"/>
    <col min="2" max="2" width="11.5703125" style="3" customWidth="1"/>
    <col min="3" max="3" width="2" style="10" customWidth="1"/>
    <col min="4" max="4" width="9" style="5" customWidth="1"/>
    <col min="5" max="5" width="9.85546875" style="16" customWidth="1"/>
    <col min="6" max="6" width="33.5703125" style="32" customWidth="1"/>
    <col min="7" max="7" width="17.5703125" customWidth="1"/>
    <col min="8" max="9" width="14.85546875" style="20" customWidth="1"/>
    <col min="10" max="11" width="16.85546875" style="22" customWidth="1"/>
    <col min="12" max="12" width="7.42578125" style="50" customWidth="1"/>
    <col min="13" max="13" width="10.140625" style="50" customWidth="1"/>
    <col min="14" max="14" width="14.42578125" style="70" customWidth="1"/>
  </cols>
  <sheetData>
    <row r="1" spans="1:14" ht="25.5" customHeight="1" x14ac:dyDescent="0.25">
      <c r="A1" s="131" t="s">
        <v>112</v>
      </c>
      <c r="B1" s="131"/>
      <c r="C1" s="131"/>
      <c r="D1" s="25" t="s">
        <v>0</v>
      </c>
      <c r="E1" s="13"/>
      <c r="F1" s="130">
        <f>SUM(RegisterCC2[Amount Due (-)])-SUM(RegisterCC2[Payment/Credit (+)])</f>
        <v>225</v>
      </c>
      <c r="G1" s="27"/>
      <c r="H1" s="17" t="s">
        <v>105</v>
      </c>
      <c r="I1" s="26"/>
      <c r="J1" s="25" t="s">
        <v>16</v>
      </c>
      <c r="K1" s="132">
        <v>6900</v>
      </c>
      <c r="L1" s="47"/>
      <c r="M1" s="47"/>
      <c r="N1" s="47"/>
    </row>
    <row r="2" spans="1:14" ht="28.5" customHeight="1" x14ac:dyDescent="0.25">
      <c r="A2" s="131"/>
      <c r="B2" s="131"/>
      <c r="C2" s="131"/>
      <c r="D2" s="4"/>
      <c r="E2" s="14"/>
      <c r="F2" s="130"/>
      <c r="G2" s="27"/>
      <c r="H2" s="115">
        <v>0.26989999999999997</v>
      </c>
      <c r="I2" s="26"/>
      <c r="J2" s="26"/>
      <c r="K2" s="132"/>
      <c r="L2" s="47"/>
      <c r="M2" s="47"/>
      <c r="N2" s="47"/>
    </row>
    <row r="3" spans="1:14" ht="39.75" customHeight="1" x14ac:dyDescent="0.3">
      <c r="A3" s="24" t="s">
        <v>1</v>
      </c>
      <c r="B3" s="2"/>
      <c r="C3" s="6"/>
      <c r="D3" s="23" t="s">
        <v>69</v>
      </c>
      <c r="E3" s="30" t="s">
        <v>2</v>
      </c>
      <c r="F3" s="23" t="s">
        <v>3</v>
      </c>
      <c r="G3" s="29" t="s">
        <v>4</v>
      </c>
      <c r="H3" s="42" t="s">
        <v>27</v>
      </c>
      <c r="I3" s="42" t="s">
        <v>28</v>
      </c>
      <c r="J3" s="31" t="s">
        <v>7</v>
      </c>
      <c r="K3" s="31" t="s">
        <v>15</v>
      </c>
      <c r="L3" s="48" t="s">
        <v>13</v>
      </c>
      <c r="M3" s="48" t="s">
        <v>14</v>
      </c>
      <c r="N3" s="67" t="s">
        <v>83</v>
      </c>
    </row>
    <row r="4" spans="1:14" ht="18.75" customHeight="1" x14ac:dyDescent="0.25">
      <c r="A4" s="33" t="s">
        <v>4</v>
      </c>
      <c r="B4" s="34" t="s">
        <v>8</v>
      </c>
      <c r="C4" s="7"/>
      <c r="D4" s="1"/>
      <c r="E4" s="15">
        <v>42736</v>
      </c>
      <c r="F4" s="45" t="s">
        <v>102</v>
      </c>
      <c r="G4" s="46" t="s">
        <v>23</v>
      </c>
      <c r="H4" s="19">
        <v>300</v>
      </c>
      <c r="I4" s="19"/>
      <c r="J4" s="21">
        <f>RegisterCC2[[#This Row],[Amount Due (-)]]</f>
        <v>300</v>
      </c>
      <c r="K4" s="21">
        <f>IF(RegisterCC2[[#This Row],[Balance]]&lt;&gt;Max_Limit,Max_Limit-RegisterCC2[[#This Row],[Balance]],RegisterCC2[[#This Row],[Balance]])</f>
        <v>6600</v>
      </c>
      <c r="L4" s="49" t="s">
        <v>67</v>
      </c>
      <c r="M4" s="49" t="s">
        <v>67</v>
      </c>
      <c r="N4" s="69" t="str">
        <f>TEXT(RegisterCC2[[#This Row],[Date]],"mmm")</f>
        <v>Jan</v>
      </c>
    </row>
    <row r="5" spans="1:14" ht="15" x14ac:dyDescent="0.25">
      <c r="A5" s="33" t="s">
        <v>9</v>
      </c>
      <c r="B5" s="35">
        <f>SUMIF(RegisterCC2[Category],"=" &amp;SummaryCC2[[#This Row],[Category]],RegisterCC2[Payment/Credit (+)])</f>
        <v>0</v>
      </c>
      <c r="C5" s="8"/>
      <c r="D5" s="43" t="s">
        <v>54</v>
      </c>
      <c r="E5" s="16">
        <v>42766</v>
      </c>
      <c r="F5" s="125" t="s">
        <v>121</v>
      </c>
      <c r="G5" s="119" t="s">
        <v>21</v>
      </c>
      <c r="I5" s="20">
        <v>75</v>
      </c>
      <c r="J5" s="22">
        <f>IF(ISBLANK(RegisterCC2[[#This Row],[Amount Due (-)]]),J4-RegisterCC2[[#This Row],[Payment/Credit (+)]],J4+RegisterCC2[[#This Row],[Amount Due (-)]])</f>
        <v>225</v>
      </c>
      <c r="K5" s="126">
        <f>IF(RegisterCC2[[#This Row],[Balance]]&lt;&gt;Max_Limit,Max_Limit-RegisterCC2[[#This Row],[Balance]],RegisterCC2[[#This Row],[Balance]])</f>
        <v>6675</v>
      </c>
      <c r="L5" s="120"/>
      <c r="M5" s="121"/>
      <c r="N5" s="70" t="str">
        <f>TEXT(RegisterCC2[[#This Row],[Date]],"mmm")</f>
        <v>Jan</v>
      </c>
    </row>
    <row r="6" spans="1:14" ht="15" x14ac:dyDescent="0.25">
      <c r="A6" s="33" t="s">
        <v>18</v>
      </c>
      <c r="B6" s="35">
        <f>SUMIF(RegisterCC2[Category],"=" &amp;SummaryCC2[[#This Row],[Category]],RegisterCC2[Amount Due (-)])</f>
        <v>0</v>
      </c>
      <c r="C6" s="8"/>
    </row>
    <row r="7" spans="1:14" ht="18.75" customHeight="1" x14ac:dyDescent="0.25">
      <c r="A7" s="33" t="s">
        <v>29</v>
      </c>
      <c r="B7" s="35">
        <f>SUMIF(RegisterCC2[Category],"=" &amp;SummaryCC2[[#This Row],[Category]],RegisterCC2[Amount Due (-)])</f>
        <v>0</v>
      </c>
      <c r="C7" s="8"/>
    </row>
    <row r="8" spans="1:14" ht="15" x14ac:dyDescent="0.25">
      <c r="A8" s="33" t="s">
        <v>11</v>
      </c>
      <c r="B8" s="35">
        <f>SUMIF(RegisterCC2[Category],"=" &amp;SummaryCC2[[#This Row],[Category]],RegisterCC2[Amount Due (-)])</f>
        <v>0</v>
      </c>
      <c r="C8" s="8"/>
    </row>
    <row r="9" spans="1:14" ht="18.75" customHeight="1" x14ac:dyDescent="0.25">
      <c r="A9" s="33" t="s">
        <v>19</v>
      </c>
      <c r="B9" s="35">
        <f>SUMIF(RegisterCC2[Category],"=" &amp;SummaryCC2[[#This Row],[Category]],RegisterCC2[Amount Due (-)])</f>
        <v>0</v>
      </c>
      <c r="C9" s="8"/>
    </row>
    <row r="10" spans="1:14" ht="18.75" customHeight="1" x14ac:dyDescent="0.25">
      <c r="A10" s="36" t="s">
        <v>10</v>
      </c>
      <c r="B10" s="37">
        <f>SUMIF(RegisterCC2[Category],"=" &amp;SummaryCC2[[#This Row],[Category]],RegisterCC2[Amount Due (-)])</f>
        <v>0</v>
      </c>
      <c r="C10" s="9"/>
    </row>
    <row r="11" spans="1:14" ht="18.75" customHeight="1" x14ac:dyDescent="0.25">
      <c r="A11" s="38" t="s">
        <v>21</v>
      </c>
      <c r="B11" s="39">
        <f>SUMIF(RegisterCC2[Category],"=" &amp;SummaryCC2[[#This Row],[Category]],RegisterCC2[Amount Due (-)])</f>
        <v>0</v>
      </c>
    </row>
    <row r="12" spans="1:14" ht="18.75" customHeight="1" x14ac:dyDescent="0.25">
      <c r="A12" s="40" t="s">
        <v>20</v>
      </c>
      <c r="B12" s="41">
        <f>SUMIF(RegisterCC2[Category],"=" &amp;SummaryCC2[[#This Row],[Category]],RegisterCC2[Amount Due (-)])</f>
        <v>0</v>
      </c>
    </row>
    <row r="13" spans="1:14" ht="18.75" customHeight="1" x14ac:dyDescent="0.25">
      <c r="A13" s="40" t="s">
        <v>22</v>
      </c>
      <c r="B13" s="41">
        <f>SUMIF(RegisterCC2[Category],"=" &amp;SummaryCC2[[#This Row],[Category]],RegisterCC2[Amount Due (-)])</f>
        <v>0</v>
      </c>
    </row>
    <row r="14" spans="1:14" ht="18.75" customHeight="1" x14ac:dyDescent="0.25">
      <c r="A14" s="40" t="s">
        <v>25</v>
      </c>
      <c r="B14" s="41">
        <f>SUMIF(RegisterCC2[Category],"=" &amp;SummaryCC2[[#This Row],[Category]],RegisterCC2[Amount Due (-)])</f>
        <v>0</v>
      </c>
    </row>
    <row r="15" spans="1:14" ht="18.75" customHeight="1" x14ac:dyDescent="0.25">
      <c r="A15" s="40" t="s">
        <v>26</v>
      </c>
      <c r="B15" s="41">
        <f>SUMIF(RegisterCC2[Category],"=" &amp;SummaryCC2[[#This Row],[Category]],RegisterCC2[Amount Due (-)])</f>
        <v>0</v>
      </c>
    </row>
    <row r="16" spans="1:14" ht="18.75" customHeight="1" x14ac:dyDescent="0.25">
      <c r="A16" s="40" t="s">
        <v>64</v>
      </c>
      <c r="B16" s="41">
        <f>SUMIF(RegisterCC2[Category],"=" &amp;SummaryCC2[[#This Row],[Category]],RegisterCC2[Amount Due (-)])</f>
        <v>0</v>
      </c>
    </row>
    <row r="17" spans="1:2" ht="18.75" customHeight="1" x14ac:dyDescent="0.25">
      <c r="A17" s="40" t="s">
        <v>12</v>
      </c>
      <c r="B17" s="41">
        <f>SUMIF(RegisterCC2[Category],"=" &amp;SummaryCC2[[#This Row],[Category]],RegisterCC2[Amount Due (-)])</f>
        <v>0</v>
      </c>
    </row>
    <row r="18" spans="1:2" ht="18.75" customHeight="1" x14ac:dyDescent="0.25">
      <c r="A18" s="11"/>
    </row>
    <row r="19" spans="1:2" ht="18.75" customHeight="1" x14ac:dyDescent="0.25">
      <c r="A19" s="11"/>
    </row>
    <row r="20" spans="1:2" ht="18.75" customHeight="1" x14ac:dyDescent="0.25">
      <c r="A20" s="11"/>
    </row>
    <row r="21" spans="1:2" ht="18.75" customHeight="1" x14ac:dyDescent="0.25">
      <c r="A21" s="11"/>
    </row>
    <row r="22" spans="1:2" ht="18.75" customHeight="1" x14ac:dyDescent="0.25">
      <c r="A22" s="12"/>
    </row>
    <row r="23" spans="1:2" ht="18.75" customHeight="1" x14ac:dyDescent="0.25">
      <c r="A23" s="11"/>
    </row>
    <row r="26" spans="1:2" ht="15" x14ac:dyDescent="0.25"/>
    <row r="40" ht="15" x14ac:dyDescent="0.25"/>
    <row r="41" ht="15" x14ac:dyDescent="0.25"/>
    <row r="59" ht="15" x14ac:dyDescent="0.25"/>
    <row r="61" ht="15" x14ac:dyDescent="0.25"/>
    <row r="65" ht="15" x14ac:dyDescent="0.25"/>
    <row r="68" ht="15" x14ac:dyDescent="0.25"/>
    <row r="71" ht="15" x14ac:dyDescent="0.25"/>
    <row r="75" ht="15" x14ac:dyDescent="0.25"/>
    <row r="76" ht="15" x14ac:dyDescent="0.25"/>
    <row r="77" ht="15" x14ac:dyDescent="0.25"/>
    <row r="78" ht="15" x14ac:dyDescent="0.25"/>
    <row r="79" ht="15" x14ac:dyDescent="0.25"/>
    <row r="81" ht="15" x14ac:dyDescent="0.25"/>
    <row r="85" ht="15" x14ac:dyDescent="0.25"/>
    <row r="87" ht="15" x14ac:dyDescent="0.25"/>
    <row r="88" ht="15" x14ac:dyDescent="0.25"/>
    <row r="92" ht="15" x14ac:dyDescent="0.25"/>
    <row r="94" ht="15" x14ac:dyDescent="0.25"/>
    <row r="96" ht="15" x14ac:dyDescent="0.25"/>
    <row r="98" ht="15" x14ac:dyDescent="0.25"/>
    <row r="101" ht="15" x14ac:dyDescent="0.25"/>
    <row r="102" ht="15" x14ac:dyDescent="0.25"/>
    <row r="106" ht="15" x14ac:dyDescent="0.25"/>
    <row r="110" ht="15" x14ac:dyDescent="0.25"/>
    <row r="118" ht="15" x14ac:dyDescent="0.25"/>
  </sheetData>
  <mergeCells count="3">
    <mergeCell ref="A1:C2"/>
    <mergeCell ref="F1:F2"/>
    <mergeCell ref="K1:K2"/>
  </mergeCells>
  <conditionalFormatting sqref="J4:K5">
    <cfRule type="expression" dxfId="731" priority="2">
      <formula>J4&lt;0</formula>
    </cfRule>
  </conditionalFormatting>
  <dataValidations count="2">
    <dataValidation type="list" allowBlank="1" showInputMessage="1" showErrorMessage="1" sqref="A5:A17">
      <formula1>CategoryLookup</formula1>
    </dataValidation>
    <dataValidation type="list" errorStyle="warning" allowBlank="1" showInputMessage="1" errorTitle="Whoops" sqref="G4:G5">
      <formula1>CategoryLookup</formula1>
    </dataValidation>
  </dataValidations>
  <printOptions horizontalCentered="1"/>
  <pageMargins left="0.25" right="0.25" top="0.75" bottom="0.75" header="0.3" footer="0.3"/>
  <pageSetup fitToHeight="0" orientation="portrait" r:id="rId1"/>
  <headerFooter differentFirst="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pageSetUpPr autoPageBreaks="0" fitToPage="1"/>
  </sheetPr>
  <dimension ref="A1:O118"/>
  <sheetViews>
    <sheetView showGridLines="0" zoomScaleNormal="100" workbookViewId="0">
      <pane ySplit="3" topLeftCell="A79" activePane="bottomLeft" state="frozen"/>
      <selection activeCell="B1" sqref="B1"/>
      <selection pane="bottomLeft" activeCell="A94" sqref="A94:A96"/>
    </sheetView>
  </sheetViews>
  <sheetFormatPr defaultColWidth="8.85546875" defaultRowHeight="16.5" customHeight="1" x14ac:dyDescent="0.25"/>
  <cols>
    <col min="1" max="1" width="25" style="53" customWidth="1"/>
    <col min="2" max="3" width="10.28515625" style="53" bestFit="1" customWidth="1"/>
    <col min="4" max="4" width="10.42578125" style="53" customWidth="1"/>
    <col min="5" max="13" width="10.28515625" style="53" bestFit="1" customWidth="1"/>
    <col min="14" max="14" width="11" style="56" customWidth="1"/>
    <col min="15" max="15" width="11.140625" style="56" bestFit="1" customWidth="1"/>
    <col min="16" max="16384" width="8.85546875" style="53"/>
  </cols>
  <sheetData>
    <row r="1" spans="1:15" ht="24.6" customHeight="1" x14ac:dyDescent="0.25">
      <c r="A1" s="51"/>
      <c r="B1" s="52" t="s">
        <v>92</v>
      </c>
      <c r="C1" s="52">
        <v>2017</v>
      </c>
      <c r="D1" s="52"/>
      <c r="E1" s="52"/>
      <c r="F1" s="52"/>
      <c r="G1" s="52"/>
      <c r="H1" s="52"/>
      <c r="I1" s="52"/>
      <c r="J1" s="52"/>
      <c r="K1" s="52"/>
      <c r="L1" s="52"/>
      <c r="M1" s="52"/>
      <c r="N1" s="76"/>
      <c r="O1" s="76"/>
    </row>
    <row r="2" spans="1:15" ht="24.6" customHeight="1" x14ac:dyDescent="0.25">
      <c r="A2" s="51"/>
      <c r="B2" s="52" t="s">
        <v>71</v>
      </c>
      <c r="C2" s="52" t="s">
        <v>72</v>
      </c>
      <c r="D2" s="52" t="s">
        <v>73</v>
      </c>
      <c r="E2" s="52" t="s">
        <v>74</v>
      </c>
      <c r="F2" s="52" t="s">
        <v>70</v>
      </c>
      <c r="G2" s="52" t="s">
        <v>75</v>
      </c>
      <c r="H2" s="52" t="s">
        <v>86</v>
      </c>
      <c r="I2" s="52" t="s">
        <v>87</v>
      </c>
      <c r="J2" s="52" t="s">
        <v>88</v>
      </c>
      <c r="K2" s="52" t="s">
        <v>89</v>
      </c>
      <c r="L2" s="52" t="s">
        <v>90</v>
      </c>
      <c r="M2" s="52" t="s">
        <v>91</v>
      </c>
      <c r="N2" s="76" t="s">
        <v>92</v>
      </c>
      <c r="O2" s="76" t="s">
        <v>100</v>
      </c>
    </row>
    <row r="3" spans="1:15" ht="13.35" customHeight="1" x14ac:dyDescent="0.25">
      <c r="N3" s="54"/>
      <c r="O3" s="54"/>
    </row>
    <row r="4" spans="1:15" ht="16.5" customHeight="1" thickBot="1" x14ac:dyDescent="0.3">
      <c r="A4" s="55" t="s">
        <v>77</v>
      </c>
      <c r="B4" s="68">
        <f>INDEX(RegisterChk[],MATCH(DATE(C1,1,1),RegisterChk[Date],1),MATCH("Balance",RegisterChk[#Headers],0))</f>
        <v>1500</v>
      </c>
    </row>
    <row r="5" spans="1:15" ht="16.5" customHeight="1" x14ac:dyDescent="0.25">
      <c r="A5" s="80" t="s">
        <v>76</v>
      </c>
      <c r="B5" s="94">
        <f>SUM(tblIncome[jan])</f>
        <v>2000</v>
      </c>
      <c r="C5" s="94">
        <f>SUM(tblIncome[feb])</f>
        <v>0</v>
      </c>
      <c r="D5" s="94">
        <f>SUM(tblIncome[mar])</f>
        <v>0</v>
      </c>
      <c r="E5" s="94">
        <f>SUM(tblIncome[apr])</f>
        <v>0</v>
      </c>
      <c r="F5" s="94">
        <f>SUM(tblIncome[may])</f>
        <v>0</v>
      </c>
      <c r="G5" s="94">
        <f>SUM(tblIncome[jun])</f>
        <v>0</v>
      </c>
      <c r="H5" s="94">
        <f>SUM(tblIncome[jul])</f>
        <v>0</v>
      </c>
      <c r="I5" s="94">
        <f>SUM(tblIncome[aug])</f>
        <v>0</v>
      </c>
      <c r="J5" s="94">
        <f>SUM(tblIncome[sep])</f>
        <v>0</v>
      </c>
      <c r="K5" s="94">
        <f>SUM(tblIncome[oct])</f>
        <v>0</v>
      </c>
      <c r="L5" s="94">
        <f>SUM(tblIncome[nov])</f>
        <v>0</v>
      </c>
      <c r="M5" s="94">
        <f>SUM(tblIncome[dec])</f>
        <v>0</v>
      </c>
      <c r="N5" s="95">
        <f>SUM(tblIncome[year])</f>
        <v>2000</v>
      </c>
      <c r="O5" s="111">
        <f t="shared" ref="O5:O8" ca="1" si="0">SUM(B5:M5)/MONTH(NOW())</f>
        <v>666.66666666666663</v>
      </c>
    </row>
    <row r="6" spans="1:15" ht="16.5" customHeight="1" x14ac:dyDescent="0.25">
      <c r="A6" s="81" t="s">
        <v>78</v>
      </c>
      <c r="B6" s="96">
        <f>SUM(tblExpenseCategory_01[jan],tblExpenseCategory_02[jan],tblExpenseCategory_03[jan],tblExpenseCategory_04[jan],tblExpenseCategory_05[jan],tblExpenseCategory_06[jan],tblExpenseCategory_07[jan],tblExpenseCategory_08[jan],tblExpenseCategory_09[jan],tblExpenseCategory_10[jan],tblExpenseCategory_11[jan],tblExpenseCategory_12[jan],tblExpenseCategory_13[jan],tblExpenseCategory_14[jan],tblExpenseCategory_15[jan])</f>
        <v>996</v>
      </c>
      <c r="C6" s="96">
        <f>SUM(tblExpenseCategory_01[feb],tblExpenseCategory_02[feb],tblExpenseCategory_03[feb],tblExpenseCategory_04[feb],tblExpenseCategory_05[feb],tblExpenseCategory_06[feb],tblExpenseCategory_07[feb],tblExpenseCategory_08[feb],tblExpenseCategory_09[feb],tblExpenseCategory_10[feb],tblExpenseCategory_11[feb],tblExpenseCategory_12[feb],tblExpenseCategory_13[feb],tblExpenseCategory_14[feb],tblExpenseCategory_15[feb])</f>
        <v>0</v>
      </c>
      <c r="D6" s="96">
        <f>SUM(tblExpenseCategory_01[mar],tblExpenseCategory_02[mar],tblExpenseCategory_03[mar],tblExpenseCategory_04[mar],tblExpenseCategory_05[mar],tblExpenseCategory_06[mar],tblExpenseCategory_07[mar],tblExpenseCategory_08[mar],tblExpenseCategory_09[mar],tblExpenseCategory_10[mar],tblExpenseCategory_11[mar],tblExpenseCategory_12[mar],tblExpenseCategory_13[mar],tblExpenseCategory_14[mar],tblExpenseCategory_15[mar])</f>
        <v>0</v>
      </c>
      <c r="E6" s="96">
        <f>SUM(tblExpenseCategory_01[apr],tblExpenseCategory_02[apr],tblExpenseCategory_03[apr],tblExpenseCategory_04[apr],tblExpenseCategory_05[apr],tblExpenseCategory_06[apr],tblExpenseCategory_07[apr],tblExpenseCategory_08[apr],tblExpenseCategory_09[apr],tblExpenseCategory_10[apr],tblExpenseCategory_11[apr],tblExpenseCategory_12[apr],tblExpenseCategory_13[apr],tblExpenseCategory_14[apr],tblExpenseCategory_15[apr])</f>
        <v>0</v>
      </c>
      <c r="F6" s="96">
        <f>SUM(tblExpenseCategory_01[may],tblExpenseCategory_02[may],tblExpenseCategory_03[may],tblExpenseCategory_04[may],tblExpenseCategory_05[may],tblExpenseCategory_06[may],tblExpenseCategory_07[may],tblExpenseCategory_08[may],tblExpenseCategory_09[may],tblExpenseCategory_10[may],tblExpenseCategory_11[may],tblExpenseCategory_12[may],tblExpenseCategory_13[may],tblExpenseCategory_14[may],tblExpenseCategory_15[may])</f>
        <v>0</v>
      </c>
      <c r="G6" s="96">
        <f>SUM(tblExpenseCategory_01[jun],tblExpenseCategory_02[jun],tblExpenseCategory_03[jun],tblExpenseCategory_04[jun],tblExpenseCategory_05[jun],tblExpenseCategory_06[jun],tblExpenseCategory_07[jun],tblExpenseCategory_08[jun],tblExpenseCategory_09[jun],tblExpenseCategory_10[jun],tblExpenseCategory_11[jun],tblExpenseCategory_12[jun],tblExpenseCategory_13[jun],tblExpenseCategory_14[jun],tblExpenseCategory_15[jun])</f>
        <v>0</v>
      </c>
      <c r="H6" s="96">
        <f>SUM(tblExpenseCategory_01[jul],tblExpenseCategory_02[jul],tblExpenseCategory_03[jul],tblExpenseCategory_04[jul],tblExpenseCategory_05[jul],tblExpenseCategory_06[jul],tblExpenseCategory_07[jul],tblExpenseCategory_08[jul],tblExpenseCategory_09[jul],tblExpenseCategory_10[jul],tblExpenseCategory_11[jul],tblExpenseCategory_12[jul],tblExpenseCategory_13[jul],tblExpenseCategory_14[jul],tblExpenseCategory_15[jul])</f>
        <v>0</v>
      </c>
      <c r="I6" s="96">
        <f>SUM(tblExpenseCategory_01[aug],tblExpenseCategory_02[aug],tblExpenseCategory_03[aug],tblExpenseCategory_04[aug],tblExpenseCategory_05[aug],tblExpenseCategory_06[aug],tblExpenseCategory_07[aug],tblExpenseCategory_08[aug],tblExpenseCategory_09[aug],tblExpenseCategory_10[aug],tblExpenseCategory_11[aug],tblExpenseCategory_12[aug],tblExpenseCategory_13[aug],tblExpenseCategory_14[aug],tblExpenseCategory_15[aug])</f>
        <v>0</v>
      </c>
      <c r="J6" s="96">
        <f>SUM(tblExpenseCategory_01[sep],tblExpenseCategory_02[sep],tblExpenseCategory_03[sep],tblExpenseCategory_04[sep],tblExpenseCategory_05[sep],tblExpenseCategory_06[sep],tblExpenseCategory_07[sep],tblExpenseCategory_08[sep],tblExpenseCategory_09[sep],tblExpenseCategory_10[sep],tblExpenseCategory_11[sep],tblExpenseCategory_12[sep],tblExpenseCategory_13[sep],tblExpenseCategory_14[sep],tblExpenseCategory_15[sep])</f>
        <v>0</v>
      </c>
      <c r="K6" s="96">
        <f>SUM(tblExpenseCategory_01[oct],tblExpenseCategory_02[oct],tblExpenseCategory_03[oct],tblExpenseCategory_04[oct],tblExpenseCategory_05[oct],tblExpenseCategory_06[oct],tblExpenseCategory_07[oct],tblExpenseCategory_08[oct],tblExpenseCategory_09[oct],tblExpenseCategory_10[oct],tblExpenseCategory_11[oct],tblExpenseCategory_12[oct],tblExpenseCategory_13[oct],tblExpenseCategory_14[oct],tblExpenseCategory_15[oct])</f>
        <v>0</v>
      </c>
      <c r="L6" s="96">
        <f>SUM(tblExpenseCategory_01[nov],tblExpenseCategory_02[nov],tblExpenseCategory_03[nov],tblExpenseCategory_04[nov],tblExpenseCategory_05[nov],tblExpenseCategory_06[nov],tblExpenseCategory_07[nov],tblExpenseCategory_08[nov],tblExpenseCategory_09[nov],tblExpenseCategory_10[nov],tblExpenseCategory_11[nov],tblExpenseCategory_12[nov],tblExpenseCategory_13[nov],tblExpenseCategory_14[nov],tblExpenseCategory_15[nov])</f>
        <v>0</v>
      </c>
      <c r="M6" s="96">
        <f>SUM(tblExpenseCategory_01[dec],tblExpenseCategory_02[dec],tblExpenseCategory_03[dec],tblExpenseCategory_04[dec],tblExpenseCategory_05[dec],tblExpenseCategory_06[dec],tblExpenseCategory_07[dec],tblExpenseCategory_08[dec],tblExpenseCategory_09[dec],tblExpenseCategory_10[dec],tblExpenseCategory_11[dec],tblExpenseCategory_12[dec],tblExpenseCategory_13[dec],tblExpenseCategory_14[dec],tblExpenseCategory_15[dec])</f>
        <v>0</v>
      </c>
      <c r="N6" s="97">
        <f>SUM(tblExpenseCategory_01[year],tblExpenseCategory_02[year],tblExpenseCategory_03[year],tblExpenseCategory_04[year],tblExpenseCategory_05[year],tblExpenseCategory_06[year],tblExpenseCategory_07[year],tblExpenseCategory_08[year],tblExpenseCategory_09[year],tblExpenseCategory_10[year],tblExpenseCategory_11[year],tblExpenseCategory_12[year],tblExpenseCategory_13[year],tblExpenseCategory_14[year],tblExpenseCategory_15[year])</f>
        <v>996</v>
      </c>
      <c r="O6" s="97">
        <f t="shared" ca="1" si="0"/>
        <v>332</v>
      </c>
    </row>
    <row r="7" spans="1:15" ht="16.5" customHeight="1" thickBot="1" x14ac:dyDescent="0.3">
      <c r="A7" s="81" t="s">
        <v>79</v>
      </c>
      <c r="B7" s="98">
        <f t="shared" ref="B7:N7" si="1">B5-B6</f>
        <v>1004</v>
      </c>
      <c r="C7" s="98">
        <f t="shared" si="1"/>
        <v>0</v>
      </c>
      <c r="D7" s="98">
        <f t="shared" si="1"/>
        <v>0</v>
      </c>
      <c r="E7" s="98">
        <f t="shared" si="1"/>
        <v>0</v>
      </c>
      <c r="F7" s="98">
        <f t="shared" si="1"/>
        <v>0</v>
      </c>
      <c r="G7" s="98">
        <f t="shared" si="1"/>
        <v>0</v>
      </c>
      <c r="H7" s="98">
        <f t="shared" si="1"/>
        <v>0</v>
      </c>
      <c r="I7" s="98">
        <f t="shared" si="1"/>
        <v>0</v>
      </c>
      <c r="J7" s="98">
        <f t="shared" si="1"/>
        <v>0</v>
      </c>
      <c r="K7" s="98">
        <f t="shared" si="1"/>
        <v>0</v>
      </c>
      <c r="L7" s="98">
        <f t="shared" si="1"/>
        <v>0</v>
      </c>
      <c r="M7" s="98">
        <f t="shared" si="1"/>
        <v>0</v>
      </c>
      <c r="N7" s="97">
        <f t="shared" si="1"/>
        <v>1004</v>
      </c>
      <c r="O7" s="97">
        <f t="shared" ca="1" si="0"/>
        <v>334.66666666666669</v>
      </c>
    </row>
    <row r="8" spans="1:15" ht="16.5" customHeight="1" thickTop="1" thickBot="1" x14ac:dyDescent="0.3">
      <c r="A8" s="82" t="s">
        <v>80</v>
      </c>
      <c r="B8" s="99">
        <f>B4+B5-B6</f>
        <v>2504</v>
      </c>
      <c r="C8" s="99">
        <f t="shared" ref="C8:N8" si="2">B8+C5-C6</f>
        <v>2504</v>
      </c>
      <c r="D8" s="99">
        <f t="shared" si="2"/>
        <v>2504</v>
      </c>
      <c r="E8" s="99">
        <f t="shared" si="2"/>
        <v>2504</v>
      </c>
      <c r="F8" s="99">
        <f t="shared" si="2"/>
        <v>2504</v>
      </c>
      <c r="G8" s="99">
        <f t="shared" si="2"/>
        <v>2504</v>
      </c>
      <c r="H8" s="99">
        <f t="shared" si="2"/>
        <v>2504</v>
      </c>
      <c r="I8" s="99">
        <f t="shared" si="2"/>
        <v>2504</v>
      </c>
      <c r="J8" s="99">
        <f t="shared" si="2"/>
        <v>2504</v>
      </c>
      <c r="K8" s="99">
        <f t="shared" si="2"/>
        <v>2504</v>
      </c>
      <c r="L8" s="99">
        <f t="shared" si="2"/>
        <v>2504</v>
      </c>
      <c r="M8" s="99">
        <f t="shared" si="2"/>
        <v>2504</v>
      </c>
      <c r="N8" s="100">
        <f t="shared" si="2"/>
        <v>3508</v>
      </c>
      <c r="O8" s="100">
        <f t="shared" ca="1" si="0"/>
        <v>10016</v>
      </c>
    </row>
    <row r="9" spans="1:15" ht="16.5" customHeight="1" x14ac:dyDescent="0.25">
      <c r="A9" s="58"/>
      <c r="B9" s="59"/>
      <c r="C9" s="59"/>
      <c r="D9" s="59"/>
      <c r="E9" s="59"/>
      <c r="F9" s="59"/>
      <c r="H9" s="59"/>
      <c r="I9" s="59"/>
      <c r="J9" s="59"/>
      <c r="K9" s="59"/>
      <c r="L9" s="59"/>
      <c r="M9" s="59"/>
      <c r="N9" s="60"/>
      <c r="O9" s="60"/>
    </row>
    <row r="10" spans="1:15" ht="16.5" customHeight="1" thickBot="1" x14ac:dyDescent="0.3">
      <c r="A10" s="58"/>
      <c r="B10" s="59"/>
      <c r="C10" s="59"/>
      <c r="D10" s="59"/>
      <c r="E10" s="59"/>
      <c r="F10" s="59"/>
      <c r="G10" s="59"/>
      <c r="H10" s="59"/>
      <c r="I10" s="59"/>
      <c r="J10" s="59"/>
      <c r="K10" s="59"/>
      <c r="L10" s="59"/>
      <c r="M10" s="59"/>
      <c r="N10" s="60"/>
      <c r="O10" s="60"/>
    </row>
    <row r="11" spans="1:15" ht="16.5" customHeight="1" thickTop="1" x14ac:dyDescent="0.25">
      <c r="A11" s="77" t="s">
        <v>85</v>
      </c>
      <c r="B11" s="61"/>
      <c r="C11" s="61"/>
      <c r="D11" s="61"/>
      <c r="E11" s="61"/>
      <c r="F11" s="61"/>
      <c r="G11" s="61"/>
      <c r="H11" s="61"/>
      <c r="I11" s="61"/>
      <c r="J11" s="61"/>
      <c r="K11" s="61"/>
      <c r="L11" s="61"/>
      <c r="M11" s="61"/>
      <c r="N11" s="62"/>
      <c r="O11" s="62"/>
    </row>
    <row r="12" spans="1:15" ht="16.5" customHeight="1" x14ac:dyDescent="0.25">
      <c r="A12" s="57" t="s">
        <v>9</v>
      </c>
      <c r="B12" s="71">
        <f>SUMIFS(RegisterChk[Deposit (+)],RegisterChk[Transaction Month],"=" &amp;B$2,RegisterChk[Transaction Year],"="&amp;$C$1,RegisterChk[Category],"=" &amp;$A12)</f>
        <v>2000</v>
      </c>
      <c r="C12" s="71">
        <f>SUMIFS(RegisterChk[Deposit (+)],RegisterChk[Transaction Month],"=" &amp;C$2,RegisterChk[Transaction Year],"="&amp;$C$1,RegisterChk[Category],"=" &amp;$A12)</f>
        <v>0</v>
      </c>
      <c r="D12" s="71">
        <f>SUMIFS(RegisterChk[Deposit (+)],RegisterChk[Transaction Month],"=" &amp;D$2,RegisterChk[Transaction Year],"="&amp;$C$1,RegisterChk[Category],"=" &amp;$A12)</f>
        <v>0</v>
      </c>
      <c r="E12" s="71">
        <f>SUMIFS(RegisterChk[Deposit (+)],RegisterChk[Transaction Month],"=" &amp;E$2,RegisterChk[Transaction Year],"="&amp;$C$1,RegisterChk[Category],"=" &amp;$A12)</f>
        <v>0</v>
      </c>
      <c r="F12" s="71">
        <f>SUMIFS(RegisterChk[Deposit (+)],RegisterChk[Transaction Month],"=" &amp;F$2,RegisterChk[Transaction Year],"="&amp;$C$1,RegisterChk[Category],"=" &amp;$A12)</f>
        <v>0</v>
      </c>
      <c r="G12" s="71">
        <f>SUMIFS(RegisterChk[Deposit (+)],RegisterChk[Transaction Month],"=" &amp;G$2,RegisterChk[Transaction Year],"="&amp;$C$1,RegisterChk[Category],"=" &amp;$A12)</f>
        <v>0</v>
      </c>
      <c r="H12" s="71">
        <f>SUMIFS(RegisterChk[Deposit (+)],RegisterChk[Transaction Month],"=" &amp;H$2,RegisterChk[Transaction Year],"="&amp;$C$1,RegisterChk[Category],"=" &amp;$A12)</f>
        <v>0</v>
      </c>
      <c r="I12" s="71">
        <f>SUMIFS(RegisterChk[Deposit (+)],RegisterChk[Transaction Month],"=" &amp;I$2,RegisterChk[Transaction Year],"="&amp;$C$1,RegisterChk[Category],"=" &amp;$A12)</f>
        <v>0</v>
      </c>
      <c r="J12" s="71">
        <f>SUMIFS(RegisterChk[Deposit (+)],RegisterChk[Transaction Month],"=" &amp;J$2,RegisterChk[Transaction Year],"="&amp;$C$1,RegisterChk[Category],"=" &amp;$A12)</f>
        <v>0</v>
      </c>
      <c r="K12" s="71">
        <f>SUMIFS(RegisterChk[Deposit (+)],RegisterChk[Transaction Month],"=" &amp;K$2,RegisterChk[Transaction Year],"="&amp;$C$1,RegisterChk[Category],"=" &amp;$A12)</f>
        <v>0</v>
      </c>
      <c r="L12" s="71">
        <f>SUMIFS(RegisterChk[Deposit (+)],RegisterChk[Transaction Month],"=" &amp;L$2,RegisterChk[Transaction Year],"="&amp;$C$1,RegisterChk[Category],"=" &amp;$A12)</f>
        <v>0</v>
      </c>
      <c r="M12" s="71">
        <f>SUMIFS(RegisterChk[Deposit (+)],RegisterChk[Transaction Month],"=" &amp;M$2,RegisterChk[Transaction Year],"="&amp;$C$1,RegisterChk[Category],"=" &amp;$A12)</f>
        <v>0</v>
      </c>
      <c r="N12" s="72">
        <f>SUM(tblIncome[[#This Row],[jan]:[dec]])</f>
        <v>2000</v>
      </c>
      <c r="O12" s="72">
        <f t="shared" ref="O12" ca="1" si="3">SUM(B12:M12)/MONTH(NOW())</f>
        <v>666.66666666666663</v>
      </c>
    </row>
    <row r="13" spans="1:15" ht="16.5" customHeight="1" x14ac:dyDescent="0.25">
      <c r="A13" s="116" t="s">
        <v>81</v>
      </c>
      <c r="B13" s="117">
        <f>SUM(tblIncome[jan])</f>
        <v>2000</v>
      </c>
      <c r="C13" s="117">
        <f>SUM(tblIncome[feb])</f>
        <v>0</v>
      </c>
      <c r="D13" s="117">
        <f>SUM(tblIncome[mar])</f>
        <v>0</v>
      </c>
      <c r="E13" s="117">
        <f>SUM(tblIncome[apr])</f>
        <v>0</v>
      </c>
      <c r="F13" s="117">
        <f>SUM(tblIncome[may])</f>
        <v>0</v>
      </c>
      <c r="G13" s="117">
        <f>SUM(tblIncome[jun])</f>
        <v>0</v>
      </c>
      <c r="H13" s="117">
        <f>SUM(tblIncome[jul])</f>
        <v>0</v>
      </c>
      <c r="I13" s="117">
        <f>SUM(tblIncome[aug])</f>
        <v>0</v>
      </c>
      <c r="J13" s="117">
        <f>SUM(tblIncome[sep])</f>
        <v>0</v>
      </c>
      <c r="K13" s="117">
        <f>SUM(tblIncome[oct])</f>
        <v>0</v>
      </c>
      <c r="L13" s="117">
        <f>SUM(tblIncome[nov])</f>
        <v>0</v>
      </c>
      <c r="M13" s="117">
        <f>SUM(tblIncome[dec])</f>
        <v>0</v>
      </c>
      <c r="N13" s="118">
        <f>SUM(tblIncome[year])</f>
        <v>2000</v>
      </c>
      <c r="O13" s="118">
        <f>AVERAGEIF(B13:M13,"&lt;&gt;0")</f>
        <v>2000</v>
      </c>
    </row>
    <row r="14" spans="1:15" ht="16.5" customHeight="1" x14ac:dyDescent="0.25">
      <c r="A14" s="133"/>
      <c r="B14" s="133"/>
      <c r="C14" s="133"/>
      <c r="D14" s="133"/>
      <c r="E14" s="133"/>
      <c r="F14" s="133"/>
      <c r="G14" s="133"/>
      <c r="H14" s="133"/>
      <c r="I14" s="133"/>
      <c r="J14" s="133"/>
      <c r="K14" s="133"/>
      <c r="L14" s="133"/>
      <c r="M14" s="133"/>
      <c r="N14" s="60"/>
      <c r="O14" s="60"/>
    </row>
    <row r="15" spans="1:15" ht="16.5" customHeight="1" thickBot="1" x14ac:dyDescent="0.3">
      <c r="A15" s="58"/>
      <c r="B15" s="59"/>
      <c r="C15" s="59"/>
      <c r="D15" s="59"/>
      <c r="E15" s="59"/>
      <c r="F15" s="59"/>
      <c r="G15" s="59"/>
      <c r="H15" s="59"/>
      <c r="I15" s="59"/>
      <c r="J15" s="59"/>
      <c r="K15" s="59"/>
      <c r="L15" s="59"/>
      <c r="M15" s="59"/>
      <c r="N15" s="60"/>
      <c r="O15" s="60"/>
    </row>
    <row r="16" spans="1:15" ht="16.5" customHeight="1" thickTop="1" x14ac:dyDescent="0.25">
      <c r="A16" s="77" t="s">
        <v>18</v>
      </c>
      <c r="B16" s="61"/>
      <c r="C16" s="61"/>
      <c r="D16" s="61"/>
      <c r="E16" s="61"/>
      <c r="F16" s="61"/>
      <c r="G16" s="61"/>
      <c r="H16" s="61"/>
      <c r="I16" s="61"/>
      <c r="J16" s="61"/>
      <c r="K16" s="61"/>
      <c r="L16" s="61"/>
      <c r="M16" s="61"/>
      <c r="N16" s="62"/>
      <c r="O16" s="62"/>
    </row>
    <row r="17" spans="1:15" ht="16.5" customHeight="1" x14ac:dyDescent="0.25">
      <c r="A17" s="71" t="s">
        <v>65</v>
      </c>
      <c r="B17" s="71">
        <f>SUMIFS(RegisterChk[Withdrawal (-)],RegisterChk[Transaction Month],"=" &amp;B$2,RegisterChk[Transaction Year],"="&amp;$C$1,RegisterChk[Category],"=" &amp;$A16)</f>
        <v>150</v>
      </c>
      <c r="C17" s="71">
        <f>SUMIFS(RegisterChk[Withdrawal (-)],RegisterChk[Transaction Month],"=" &amp;C$2,RegisterChk[Transaction Year],"="&amp;$C$1,RegisterChk[Category],"=" &amp;$A16)</f>
        <v>0</v>
      </c>
      <c r="D17" s="71">
        <f>SUMIFS(RegisterChk[Withdrawal (-)],RegisterChk[Transaction Month],"=" &amp;D$2,RegisterChk[Transaction Year],"="&amp;$C$1,RegisterChk[Category],"=" &amp;$A16)</f>
        <v>0</v>
      </c>
      <c r="E17" s="71">
        <f>SUMIFS(RegisterChk[Withdrawal (-)],RegisterChk[Transaction Month],"=" &amp;E$2,RegisterChk[Transaction Year],"="&amp;$C$1,RegisterChk[Category],"=" &amp;$A16)</f>
        <v>0</v>
      </c>
      <c r="F17" s="71">
        <f>SUMIFS(RegisterChk[Withdrawal (-)],RegisterChk[Transaction Month],"=" &amp;F$2,RegisterChk[Transaction Year],"="&amp;$C$1,RegisterChk[Category],"=" &amp;$A16)</f>
        <v>0</v>
      </c>
      <c r="G17" s="71">
        <f>SUMIFS(RegisterChk[Withdrawal (-)],RegisterChk[Transaction Month],"=" &amp;G$2,RegisterChk[Transaction Year],"="&amp;$C$1,RegisterChk[Category],"=" &amp;$A16)</f>
        <v>0</v>
      </c>
      <c r="H17" s="71">
        <f>SUMIFS(RegisterChk[Withdrawal (-)],RegisterChk[Transaction Month],"=" &amp;H$2,RegisterChk[Transaction Year],"="&amp;$C$1,RegisterChk[Category],"=" &amp;$A16)</f>
        <v>0</v>
      </c>
      <c r="I17" s="71">
        <f>SUMIFS(RegisterChk[Withdrawal (-)],RegisterChk[Transaction Month],"=" &amp;I$2,RegisterChk[Transaction Year],"="&amp;$C$1,RegisterChk[Category],"=" &amp;$A16)</f>
        <v>0</v>
      </c>
      <c r="J17" s="71">
        <f>SUMIFS(RegisterChk[Withdrawal (-)],RegisterChk[Transaction Month],"=" &amp;J$2,RegisterChk[Transaction Year],"="&amp;$C$1,RegisterChk[Category],"=" &amp;$A16)</f>
        <v>0</v>
      </c>
      <c r="K17" s="71">
        <f>SUMIFS(RegisterChk[Withdrawal (-)],RegisterChk[Transaction Month],"=" &amp;K$2,RegisterChk[Transaction Year],"="&amp;$C$1,RegisterChk[Category],"=" &amp;$A16)</f>
        <v>0</v>
      </c>
      <c r="L17" s="71">
        <f>SUMIFS(RegisterChk[Withdrawal (-)],RegisterChk[Transaction Month],"=" &amp;L$2,RegisterChk[Transaction Year],"="&amp;$C$1,RegisterChk[Category],"=" &amp;$A16)</f>
        <v>0</v>
      </c>
      <c r="M17" s="71">
        <f>SUMIFS(RegisterChk[Withdrawal (-)],RegisterChk[Transaction Month],"=" &amp;M$2,RegisterChk[Transaction Year],"="&amp;$C$1,RegisterChk[Category],"=" &amp;$A16)</f>
        <v>0</v>
      </c>
      <c r="N17" s="72">
        <f>SUM(tblExpenseCategory_01[[#This Row],[jan]:[dec]])</f>
        <v>150</v>
      </c>
      <c r="O17" s="72">
        <f t="shared" ref="O17:O20" ca="1" si="4">SUM(B17:M17)/MONTH(NOW())</f>
        <v>50</v>
      </c>
    </row>
    <row r="18" spans="1:15" ht="16.5" customHeight="1" x14ac:dyDescent="0.25">
      <c r="A18" s="71" t="s">
        <v>66</v>
      </c>
      <c r="B18" s="71">
        <f>SUMIFS(RegisterChk[Withdrawal (-)],RegisterChk[Transaction Month],"=" &amp;B$2,RegisterChk[Transaction Year],"="&amp;$C$1,RegisterChk[Category],"=" &amp;$A17)</f>
        <v>0</v>
      </c>
      <c r="C18" s="71">
        <f>SUMIFS(RegisterChk[Withdrawal (-)],RegisterChk[Transaction Month],"=" &amp;C$2,RegisterChk[Transaction Year],"="&amp;$C$1,RegisterChk[Category],"=" &amp;$A17)</f>
        <v>0</v>
      </c>
      <c r="D18" s="71">
        <f>SUMIFS(RegisterChk[Withdrawal (-)],RegisterChk[Transaction Month],"=" &amp;D$2,RegisterChk[Transaction Year],"="&amp;$C$1,RegisterChk[Category],"=" &amp;$A17)</f>
        <v>0</v>
      </c>
      <c r="E18" s="71">
        <f>SUMIFS(RegisterChk[Withdrawal (-)],RegisterChk[Transaction Month],"=" &amp;E$2,RegisterChk[Transaction Year],"="&amp;$C$1,RegisterChk[Category],"=" &amp;$A17)</f>
        <v>0</v>
      </c>
      <c r="F18" s="71">
        <f>SUMIFS(RegisterChk[Withdrawal (-)],RegisterChk[Transaction Month],"=" &amp;F$2,RegisterChk[Transaction Year],"="&amp;$C$1,RegisterChk[Category],"=" &amp;$A17)</f>
        <v>0</v>
      </c>
      <c r="G18" s="71">
        <f>SUMIFS(RegisterChk[Withdrawal (-)],RegisterChk[Transaction Month],"=" &amp;G$2,RegisterChk[Transaction Year],"="&amp;$C$1,RegisterChk[Category],"=" &amp;$A17)</f>
        <v>0</v>
      </c>
      <c r="H18" s="71">
        <f>SUMIFS(RegisterChk[Withdrawal (-)],RegisterChk[Transaction Month],"=" &amp;H$2,RegisterChk[Transaction Year],"="&amp;$C$1,RegisterChk[Category],"=" &amp;$A17)</f>
        <v>0</v>
      </c>
      <c r="I18" s="71">
        <f>SUMIFS(RegisterChk[Withdrawal (-)],RegisterChk[Transaction Month],"=" &amp;I$2,RegisterChk[Transaction Year],"="&amp;$C$1,RegisterChk[Category],"=" &amp;$A17)</f>
        <v>0</v>
      </c>
      <c r="J18" s="71">
        <f>SUMIFS(RegisterChk[Withdrawal (-)],RegisterChk[Transaction Month],"=" &amp;J$2,RegisterChk[Transaction Year],"="&amp;$C$1,RegisterChk[Category],"=" &amp;$A17)</f>
        <v>0</v>
      </c>
      <c r="K18" s="71">
        <f>SUMIFS(RegisterChk[Withdrawal (-)],RegisterChk[Transaction Month],"=" &amp;K$2,RegisterChk[Transaction Year],"="&amp;$C$1,RegisterChk[Category],"=" &amp;$A17)</f>
        <v>0</v>
      </c>
      <c r="L18" s="71">
        <f>SUMIFS(RegisterChk[Withdrawal (-)],RegisterChk[Transaction Month],"=" &amp;L$2,RegisterChk[Transaction Year],"="&amp;$C$1,RegisterChk[Category],"=" &amp;$A17)</f>
        <v>0</v>
      </c>
      <c r="M18" s="71">
        <f>SUMIFS(RegisterChk[Withdrawal (-)],RegisterChk[Transaction Month],"=" &amp;M$2,RegisterChk[Transaction Year],"="&amp;$C$1,RegisterChk[Category],"=" &amp;$A17)</f>
        <v>0</v>
      </c>
      <c r="N18" s="72">
        <f>SUM(tblExpenseCategory_01[[#This Row],[jan]:[dec]])</f>
        <v>0</v>
      </c>
      <c r="O18" s="72">
        <f t="shared" ca="1" si="4"/>
        <v>0</v>
      </c>
    </row>
    <row r="19" spans="1:15" ht="16.5" customHeight="1" x14ac:dyDescent="0.25">
      <c r="A19" s="71" t="s">
        <v>68</v>
      </c>
      <c r="B19" s="71">
        <f>SUMIFS(RegisterChk[Withdrawal (-)],RegisterChk[Transaction Month],"=" &amp;B$2,RegisterChk[Transaction Year],"="&amp;$C$1,RegisterChk[Category],"=" &amp;$A18)</f>
        <v>0</v>
      </c>
      <c r="C19" s="71">
        <f>SUMIFS(RegisterChk[Withdrawal (-)],RegisterChk[Transaction Month],"=" &amp;C$2,RegisterChk[Transaction Year],"="&amp;$C$1,RegisterChk[Category],"=" &amp;$A18)</f>
        <v>0</v>
      </c>
      <c r="D19" s="71">
        <f>SUMIFS(RegisterChk[Withdrawal (-)],RegisterChk[Transaction Month],"=" &amp;D$2,RegisterChk[Transaction Year],"="&amp;$C$1,RegisterChk[Category],"=" &amp;$A18)</f>
        <v>0</v>
      </c>
      <c r="E19" s="71">
        <f>SUMIFS(RegisterChk[Withdrawal (-)],RegisterChk[Transaction Month],"=" &amp;E$2,RegisterChk[Transaction Year],"="&amp;$C$1,RegisterChk[Category],"=" &amp;$A18)</f>
        <v>0</v>
      </c>
      <c r="F19" s="71">
        <f>SUMIFS(RegisterChk[Withdrawal (-)],RegisterChk[Transaction Month],"=" &amp;F$2,RegisterChk[Transaction Year],"="&amp;$C$1,RegisterChk[Category],"=" &amp;$A18)</f>
        <v>0</v>
      </c>
      <c r="G19" s="71">
        <f>SUMIFS(RegisterChk[Withdrawal (-)],RegisterChk[Transaction Month],"=" &amp;G$2,RegisterChk[Transaction Year],"="&amp;$C$1,RegisterChk[Category],"=" &amp;$A18)</f>
        <v>0</v>
      </c>
      <c r="H19" s="71">
        <f>SUMIFS(RegisterChk[Withdrawal (-)],RegisterChk[Transaction Month],"=" &amp;H$2,RegisterChk[Transaction Year],"="&amp;$C$1,RegisterChk[Category],"=" &amp;$A18)</f>
        <v>0</v>
      </c>
      <c r="I19" s="71">
        <f>SUMIFS(RegisterChk[Withdrawal (-)],RegisterChk[Transaction Month],"=" &amp;I$2,RegisterChk[Transaction Year],"="&amp;$C$1,RegisterChk[Category],"=" &amp;$A18)</f>
        <v>0</v>
      </c>
      <c r="J19" s="71">
        <f>SUMIFS(RegisterChk[Withdrawal (-)],RegisterChk[Transaction Month],"=" &amp;J$2,RegisterChk[Transaction Year],"="&amp;$C$1,RegisterChk[Category],"=" &amp;$A18)</f>
        <v>0</v>
      </c>
      <c r="K19" s="71">
        <f>SUMIFS(RegisterChk[Withdrawal (-)],RegisterChk[Transaction Month],"=" &amp;K$2,RegisterChk[Transaction Year],"="&amp;$C$1,RegisterChk[Category],"=" &amp;$A18)</f>
        <v>0</v>
      </c>
      <c r="L19" s="71">
        <f>SUMIFS(RegisterChk[Withdrawal (-)],RegisterChk[Transaction Month],"=" &amp;L$2,RegisterChk[Transaction Year],"="&amp;$C$1,RegisterChk[Category],"=" &amp;$A18)</f>
        <v>0</v>
      </c>
      <c r="M19" s="71">
        <f>SUMIFS(RegisterChk[Withdrawal (-)],RegisterChk[Transaction Month],"=" &amp;M$2,RegisterChk[Transaction Year],"="&amp;$C$1,RegisterChk[Category],"=" &amp;$A18)</f>
        <v>0</v>
      </c>
      <c r="N19" s="72">
        <f>SUM(tblExpenseCategory_01[[#This Row],[jan]:[dec]])</f>
        <v>0</v>
      </c>
      <c r="O19" s="72">
        <f t="shared" ca="1" si="4"/>
        <v>0</v>
      </c>
    </row>
    <row r="20" spans="1:15" ht="16.5" customHeight="1" x14ac:dyDescent="0.25">
      <c r="A20" s="117" t="str">
        <f>UPPER("Total " &amp; A16)</f>
        <v>TOTAL GROC/HOUSEHOLD</v>
      </c>
      <c r="B20" s="117">
        <f>SUM(tblExpenseCategory_01[jan])</f>
        <v>150</v>
      </c>
      <c r="C20" s="117">
        <f>SUM(tblExpenseCategory_01[feb])</f>
        <v>0</v>
      </c>
      <c r="D20" s="117">
        <f>SUM(tblExpenseCategory_01[mar])</f>
        <v>0</v>
      </c>
      <c r="E20" s="117">
        <f>SUM(tblExpenseCategory_01[apr])</f>
        <v>0</v>
      </c>
      <c r="F20" s="117">
        <f>SUM(tblExpenseCategory_01[may])</f>
        <v>0</v>
      </c>
      <c r="G20" s="117">
        <f>SUM(tblExpenseCategory_01[jun])</f>
        <v>0</v>
      </c>
      <c r="H20" s="117">
        <f>SUM(tblExpenseCategory_01[jul])</f>
        <v>0</v>
      </c>
      <c r="I20" s="117">
        <f>SUM(tblExpenseCategory_01[aug])</f>
        <v>0</v>
      </c>
      <c r="J20" s="117">
        <f>SUM(tblExpenseCategory_01[sep])</f>
        <v>0</v>
      </c>
      <c r="K20" s="117">
        <f>SUM(tblExpenseCategory_01[oct])</f>
        <v>0</v>
      </c>
      <c r="L20" s="117">
        <f>SUM(tblExpenseCategory_01[nov])</f>
        <v>0</v>
      </c>
      <c r="M20" s="117">
        <f>SUM(tblExpenseCategory_01[dec])</f>
        <v>0</v>
      </c>
      <c r="N20" s="118">
        <f>SUM(tblExpenseCategory_01[year])</f>
        <v>150</v>
      </c>
      <c r="O20" s="118">
        <f t="shared" ca="1" si="4"/>
        <v>50</v>
      </c>
    </row>
    <row r="21" spans="1:15" ht="16.5" customHeight="1" x14ac:dyDescent="0.25">
      <c r="A21" s="134"/>
      <c r="B21" s="134"/>
      <c r="C21" s="134"/>
      <c r="D21" s="134"/>
      <c r="E21" s="134"/>
      <c r="F21" s="134"/>
      <c r="G21" s="134"/>
      <c r="H21" s="134"/>
      <c r="I21" s="134"/>
      <c r="J21" s="134"/>
      <c r="K21" s="134"/>
      <c r="L21" s="134"/>
      <c r="M21" s="134"/>
      <c r="N21" s="73"/>
      <c r="O21" s="73"/>
    </row>
    <row r="22" spans="1:15" ht="16.5" customHeight="1" thickBot="1" x14ac:dyDescent="0.3">
      <c r="A22" s="58"/>
      <c r="B22" s="59"/>
      <c r="C22" s="59"/>
      <c r="D22" s="59"/>
      <c r="E22" s="59"/>
      <c r="F22" s="59"/>
      <c r="G22" s="59"/>
      <c r="H22" s="59"/>
      <c r="I22" s="59"/>
      <c r="J22" s="59"/>
      <c r="K22" s="59"/>
      <c r="L22" s="59"/>
      <c r="M22" s="59"/>
      <c r="N22" s="60"/>
      <c r="O22" s="60"/>
    </row>
    <row r="23" spans="1:15" ht="16.5" customHeight="1" thickTop="1" x14ac:dyDescent="0.25">
      <c r="A23" s="77" t="s">
        <v>29</v>
      </c>
      <c r="B23" s="61"/>
      <c r="C23" s="61"/>
      <c r="D23" s="61"/>
      <c r="E23" s="61"/>
      <c r="F23" s="61"/>
      <c r="G23" s="61"/>
      <c r="H23" s="61"/>
      <c r="I23" s="61"/>
      <c r="J23" s="61"/>
      <c r="K23" s="61"/>
      <c r="L23" s="61"/>
      <c r="M23" s="61"/>
      <c r="N23" s="62"/>
      <c r="O23" s="62"/>
    </row>
    <row r="24" spans="1:15" ht="16.5" customHeight="1" x14ac:dyDescent="0.25">
      <c r="A24" s="57" t="s">
        <v>65</v>
      </c>
      <c r="B24" s="71">
        <f>SUMIFS(RegisterChk[Withdrawal (-)],RegisterChk[Transaction Month],"=" &amp;B$2,RegisterChk[Transaction Year],"="&amp;$C$1,RegisterChk[Category],"=" &amp;$A23)</f>
        <v>500</v>
      </c>
      <c r="C24" s="71">
        <f>SUMIFS(RegisterChk[Withdrawal (-)],RegisterChk[Transaction Month],"=" &amp;C$2,RegisterChk[Transaction Year],"="&amp;$C$1,RegisterChk[Category],"=" &amp;$A23)</f>
        <v>0</v>
      </c>
      <c r="D24" s="71">
        <f>SUMIFS(RegisterChk[Withdrawal (-)],RegisterChk[Transaction Month],"=" &amp;D$2,RegisterChk[Transaction Year],"="&amp;$C$1,RegisterChk[Category],"=" &amp;$A23)</f>
        <v>0</v>
      </c>
      <c r="E24" s="71">
        <f>SUMIFS(RegisterChk[Withdrawal (-)],RegisterChk[Transaction Month],"=" &amp;E$2,RegisterChk[Transaction Year],"="&amp;$C$1,RegisterChk[Category],"=" &amp;$A23)</f>
        <v>0</v>
      </c>
      <c r="F24" s="71">
        <f>SUMIFS(RegisterChk[Withdrawal (-)],RegisterChk[Transaction Month],"=" &amp;F$2,RegisterChk[Transaction Year],"="&amp;$C$1,RegisterChk[Category],"=" &amp;$A23)</f>
        <v>0</v>
      </c>
      <c r="G24" s="71">
        <f>SUMIFS(RegisterChk[Withdrawal (-)],RegisterChk[Transaction Month],"=" &amp;G$2,RegisterChk[Transaction Year],"="&amp;$C$1,RegisterChk[Category],"=" &amp;$A23)</f>
        <v>0</v>
      </c>
      <c r="H24" s="71">
        <f>SUMIFS(RegisterChk[Withdrawal (-)],RegisterChk[Transaction Month],"=" &amp;H$2,RegisterChk[Transaction Year],"="&amp;$C$1,RegisterChk[Category],"=" &amp;$A23)</f>
        <v>0</v>
      </c>
      <c r="I24" s="71">
        <f>SUMIFS(RegisterChk[Withdrawal (-)],RegisterChk[Transaction Month],"=" &amp;I$2,RegisterChk[Transaction Year],"="&amp;$C$1,RegisterChk[Category],"=" &amp;$A23)</f>
        <v>0</v>
      </c>
      <c r="J24" s="71">
        <f>SUMIFS(RegisterChk[Withdrawal (-)],RegisterChk[Transaction Month],"=" &amp;J$2,RegisterChk[Transaction Year],"="&amp;$C$1,RegisterChk[Category],"=" &amp;$A23)</f>
        <v>0</v>
      </c>
      <c r="K24" s="71">
        <f>SUMIFS(RegisterChk[Withdrawal (-)],RegisterChk[Transaction Month],"=" &amp;K$2,RegisterChk[Transaction Year],"="&amp;$C$1,RegisterChk[Category],"=" &amp;$A23)</f>
        <v>0</v>
      </c>
      <c r="L24" s="71">
        <f>SUMIFS(RegisterChk[Withdrawal (-)],RegisterChk[Transaction Month],"=" &amp;L$2,RegisterChk[Transaction Year],"="&amp;$C$1,RegisterChk[Category],"=" &amp;$A23)</f>
        <v>0</v>
      </c>
      <c r="M24" s="71">
        <f>SUMIFS(RegisterChk[Withdrawal (-)],RegisterChk[Transaction Month],"=" &amp;M$2,RegisterChk[Transaction Year],"="&amp;$C$1,RegisterChk[Category],"=" &amp;$A23)</f>
        <v>0</v>
      </c>
      <c r="N24" s="72">
        <f>SUM(tblExpenseCategory_02[[#This Row],[jan]:[dec]])</f>
        <v>500</v>
      </c>
      <c r="O24" s="72">
        <f t="shared" ref="O24:O27" ca="1" si="5">SUM(B24:M24)/MONTH(NOW())</f>
        <v>166.66666666666666</v>
      </c>
    </row>
    <row r="25" spans="1:15" ht="16.5" customHeight="1" x14ac:dyDescent="0.25">
      <c r="A25" s="57" t="s">
        <v>66</v>
      </c>
      <c r="B25" s="71">
        <f>SUMIFS(RegisterChk[Withdrawal (-)],RegisterChk[Transaction Month],"=" &amp;B$2,RegisterChk[Transaction Year],"="&amp;$C$1,RegisterChk[Category],"=" &amp;$A24)</f>
        <v>0</v>
      </c>
      <c r="C25" s="71">
        <f>SUMIFS(RegisterChk[Withdrawal (-)],RegisterChk[Transaction Month],"=" &amp;C$2,RegisterChk[Transaction Year],"="&amp;$C$1,RegisterChk[Category],"=" &amp;$A24)</f>
        <v>0</v>
      </c>
      <c r="D25" s="71">
        <f>SUMIFS(RegisterChk[Withdrawal (-)],RegisterChk[Transaction Month],"=" &amp;D$2,RegisterChk[Transaction Year],"="&amp;$C$1,RegisterChk[Category],"=" &amp;$A24)</f>
        <v>0</v>
      </c>
      <c r="E25" s="71">
        <f>SUMIFS(RegisterChk[Withdrawal (-)],RegisterChk[Transaction Month],"=" &amp;E$2,RegisterChk[Transaction Year],"="&amp;$C$1,RegisterChk[Category],"=" &amp;$A24)</f>
        <v>0</v>
      </c>
      <c r="F25" s="71">
        <f>SUMIFS(RegisterChk[Withdrawal (-)],RegisterChk[Transaction Month],"=" &amp;F$2,RegisterChk[Transaction Year],"="&amp;$C$1,RegisterChk[Category],"=" &amp;$A24)</f>
        <v>0</v>
      </c>
      <c r="G25" s="71">
        <f>SUMIFS(RegisterChk[Withdrawal (-)],RegisterChk[Transaction Month],"=" &amp;G$2,RegisterChk[Transaction Year],"="&amp;$C$1,RegisterChk[Category],"=" &amp;$A24)</f>
        <v>0</v>
      </c>
      <c r="H25" s="71">
        <f>SUMIFS(RegisterChk[Withdrawal (-)],RegisterChk[Transaction Month],"=" &amp;H$2,RegisterChk[Transaction Year],"="&amp;$C$1,RegisterChk[Category],"=" &amp;$A24)</f>
        <v>0</v>
      </c>
      <c r="I25" s="71">
        <f>SUMIFS(RegisterChk[Withdrawal (-)],RegisterChk[Transaction Month],"=" &amp;I$2,RegisterChk[Transaction Year],"="&amp;$C$1,RegisterChk[Category],"=" &amp;$A24)</f>
        <v>0</v>
      </c>
      <c r="J25" s="71">
        <f>SUMIFS(RegisterChk[Withdrawal (-)],RegisterChk[Transaction Month],"=" &amp;J$2,RegisterChk[Transaction Year],"="&amp;$C$1,RegisterChk[Category],"=" &amp;$A24)</f>
        <v>0</v>
      </c>
      <c r="K25" s="71">
        <f>SUMIFS(RegisterChk[Withdrawal (-)],RegisterChk[Transaction Month],"=" &amp;K$2,RegisterChk[Transaction Year],"="&amp;$C$1,RegisterChk[Category],"=" &amp;$A24)</f>
        <v>0</v>
      </c>
      <c r="L25" s="71">
        <f>SUMIFS(RegisterChk[Withdrawal (-)],RegisterChk[Transaction Month],"=" &amp;L$2,RegisterChk[Transaction Year],"="&amp;$C$1,RegisterChk[Category],"=" &amp;$A24)</f>
        <v>0</v>
      </c>
      <c r="M25" s="71">
        <f>SUMIFS(RegisterChk[Withdrawal (-)],RegisterChk[Transaction Month],"=" &amp;M$2,RegisterChk[Transaction Year],"="&amp;$C$1,RegisterChk[Category],"=" &amp;$A24)</f>
        <v>0</v>
      </c>
      <c r="N25" s="72">
        <f>SUM(tblExpenseCategory_02[[#This Row],[jan]:[dec]])</f>
        <v>0</v>
      </c>
      <c r="O25" s="72">
        <f t="shared" ca="1" si="5"/>
        <v>0</v>
      </c>
    </row>
    <row r="26" spans="1:15" ht="16.5" customHeight="1" x14ac:dyDescent="0.25">
      <c r="A26" s="57" t="s">
        <v>68</v>
      </c>
      <c r="B26" s="71">
        <f>SUMIFS(RegisterChk[Withdrawal (-)],RegisterChk[Transaction Month],"=" &amp;B$2,RegisterChk[Transaction Year],"="&amp;$C$1,RegisterChk[Category],"=" &amp;$A25)</f>
        <v>0</v>
      </c>
      <c r="C26" s="71">
        <f>SUMIFS(RegisterChk[Withdrawal (-)],RegisterChk[Transaction Month],"=" &amp;C$2,RegisterChk[Transaction Year],"="&amp;$C$1,RegisterChk[Category],"=" &amp;$A25)</f>
        <v>0</v>
      </c>
      <c r="D26" s="71">
        <f>SUMIFS(RegisterChk[Withdrawal (-)],RegisterChk[Transaction Month],"=" &amp;D$2,RegisterChk[Transaction Year],"="&amp;$C$1,RegisterChk[Category],"=" &amp;$A25)</f>
        <v>0</v>
      </c>
      <c r="E26" s="71">
        <f>SUMIFS(RegisterChk[Withdrawal (-)],RegisterChk[Transaction Month],"=" &amp;E$2,RegisterChk[Transaction Year],"="&amp;$C$1,RegisterChk[Category],"=" &amp;$A25)</f>
        <v>0</v>
      </c>
      <c r="F26" s="71">
        <f>SUMIFS(RegisterChk[Withdrawal (-)],RegisterChk[Transaction Month],"=" &amp;F$2,RegisterChk[Transaction Year],"="&amp;$C$1,RegisterChk[Category],"=" &amp;$A25)</f>
        <v>0</v>
      </c>
      <c r="G26" s="71">
        <f>SUMIFS(RegisterChk[Withdrawal (-)],RegisterChk[Transaction Month],"=" &amp;G$2,RegisterChk[Transaction Year],"="&amp;$C$1,RegisterChk[Category],"=" &amp;$A25)</f>
        <v>0</v>
      </c>
      <c r="H26" s="71">
        <f>SUMIFS(RegisterChk[Withdrawal (-)],RegisterChk[Transaction Month],"=" &amp;H$2,RegisterChk[Transaction Year],"="&amp;$C$1,RegisterChk[Category],"=" &amp;$A25)</f>
        <v>0</v>
      </c>
      <c r="I26" s="71">
        <f>SUMIFS(RegisterChk[Withdrawal (-)],RegisterChk[Transaction Month],"=" &amp;I$2,RegisterChk[Transaction Year],"="&amp;$C$1,RegisterChk[Category],"=" &amp;$A25)</f>
        <v>0</v>
      </c>
      <c r="J26" s="71">
        <f>SUMIFS(RegisterChk[Withdrawal (-)],RegisterChk[Transaction Month],"=" &amp;J$2,RegisterChk[Transaction Year],"="&amp;$C$1,RegisterChk[Category],"=" &amp;$A25)</f>
        <v>0</v>
      </c>
      <c r="K26" s="71">
        <f>SUMIFS(RegisterChk[Withdrawal (-)],RegisterChk[Transaction Month],"=" &amp;K$2,RegisterChk[Transaction Year],"="&amp;$C$1,RegisterChk[Category],"=" &amp;$A25)</f>
        <v>0</v>
      </c>
      <c r="L26" s="71">
        <f>SUMIFS(RegisterChk[Withdrawal (-)],RegisterChk[Transaction Month],"=" &amp;L$2,RegisterChk[Transaction Year],"="&amp;$C$1,RegisterChk[Category],"=" &amp;$A25)</f>
        <v>0</v>
      </c>
      <c r="M26" s="71">
        <f>SUMIFS(RegisterChk[Withdrawal (-)],RegisterChk[Transaction Month],"=" &amp;M$2,RegisterChk[Transaction Year],"="&amp;$C$1,RegisterChk[Category],"=" &amp;$A25)</f>
        <v>0</v>
      </c>
      <c r="N26" s="72">
        <f>SUM(tblExpenseCategory_02[[#This Row],[jan]:[dec]])</f>
        <v>0</v>
      </c>
      <c r="O26" s="72">
        <f t="shared" ca="1" si="5"/>
        <v>0</v>
      </c>
    </row>
    <row r="27" spans="1:15" ht="16.5" customHeight="1" x14ac:dyDescent="0.25">
      <c r="A27" s="116" t="str">
        <f>UPPER("Total " &amp; A23)</f>
        <v>TOTAL HOUSING</v>
      </c>
      <c r="B27" s="117">
        <f>SUM(tblExpenseCategory_02[jan])</f>
        <v>500</v>
      </c>
      <c r="C27" s="117">
        <f>SUM(tblExpenseCategory_02[feb])</f>
        <v>0</v>
      </c>
      <c r="D27" s="117">
        <f>SUM(tblExpenseCategory_02[mar])</f>
        <v>0</v>
      </c>
      <c r="E27" s="117">
        <f>SUM(tblExpenseCategory_02[apr])</f>
        <v>0</v>
      </c>
      <c r="F27" s="117">
        <f>SUM(tblExpenseCategory_02[may])</f>
        <v>0</v>
      </c>
      <c r="G27" s="117">
        <f>SUM(tblExpenseCategory_02[jun])</f>
        <v>0</v>
      </c>
      <c r="H27" s="117">
        <f>SUM(tblExpenseCategory_02[jul])</f>
        <v>0</v>
      </c>
      <c r="I27" s="117">
        <f>SUM(tblExpenseCategory_02[aug])</f>
        <v>0</v>
      </c>
      <c r="J27" s="117">
        <f>SUM(tblExpenseCategory_02[sep])</f>
        <v>0</v>
      </c>
      <c r="K27" s="117">
        <f>SUM(tblExpenseCategory_02[oct])</f>
        <v>0</v>
      </c>
      <c r="L27" s="117">
        <f>SUM(tblExpenseCategory_02[nov])</f>
        <v>0</v>
      </c>
      <c r="M27" s="117">
        <f>SUM(tblExpenseCategory_02[dec])</f>
        <v>0</v>
      </c>
      <c r="N27" s="118">
        <f>SUM(tblExpenseCategory_02[year])</f>
        <v>500</v>
      </c>
      <c r="O27" s="118">
        <f t="shared" ca="1" si="5"/>
        <v>166.66666666666666</v>
      </c>
    </row>
    <row r="28" spans="1:15" ht="16.5" customHeight="1" x14ac:dyDescent="0.25">
      <c r="A28" s="133"/>
      <c r="B28" s="133"/>
      <c r="C28" s="133"/>
      <c r="D28" s="133"/>
      <c r="E28" s="133"/>
      <c r="F28" s="133"/>
      <c r="G28" s="133"/>
      <c r="H28" s="133"/>
      <c r="I28" s="133"/>
      <c r="J28" s="133"/>
      <c r="K28" s="133"/>
      <c r="L28" s="133"/>
      <c r="M28" s="133"/>
      <c r="N28" s="60"/>
      <c r="O28" s="60"/>
    </row>
    <row r="29" spans="1:15" ht="16.5" customHeight="1" thickBot="1" x14ac:dyDescent="0.3">
      <c r="A29" s="58"/>
      <c r="B29" s="59"/>
      <c r="C29" s="59"/>
      <c r="D29" s="59"/>
      <c r="E29" s="59"/>
      <c r="F29" s="59"/>
      <c r="G29" s="59"/>
      <c r="H29" s="59"/>
      <c r="I29" s="59"/>
      <c r="J29" s="59"/>
      <c r="K29" s="59"/>
      <c r="L29" s="59"/>
      <c r="M29" s="59"/>
      <c r="N29" s="60"/>
      <c r="O29" s="60"/>
    </row>
    <row r="30" spans="1:15" ht="16.5" customHeight="1" thickTop="1" x14ac:dyDescent="0.25">
      <c r="A30" s="77" t="s">
        <v>11</v>
      </c>
      <c r="B30" s="61"/>
      <c r="C30" s="61"/>
      <c r="D30" s="61"/>
      <c r="E30" s="61"/>
      <c r="F30" s="61"/>
      <c r="G30" s="61"/>
      <c r="H30" s="61"/>
      <c r="I30" s="61"/>
      <c r="J30" s="61"/>
      <c r="K30" s="61"/>
      <c r="L30" s="61"/>
      <c r="M30" s="61"/>
      <c r="N30" s="62"/>
      <c r="O30" s="62"/>
    </row>
    <row r="31" spans="1:15" ht="16.5" customHeight="1" x14ac:dyDescent="0.25">
      <c r="A31" s="57" t="s">
        <v>65</v>
      </c>
      <c r="B31" s="71">
        <f>SUMIFS(RegisterChk[Withdrawal (-)],RegisterChk[Transaction Month],"=" &amp;B$2,RegisterChk[Transaction Year],"="&amp;$C$1,RegisterChk[Category],"=" &amp;$A30)</f>
        <v>0</v>
      </c>
      <c r="C31" s="71">
        <f>SUMIFS(RegisterChk[Withdrawal (-)],RegisterChk[Transaction Month],"=" &amp;C$2,RegisterChk[Transaction Year],"="&amp;$C$1,RegisterChk[Category],"=" &amp;$A30)</f>
        <v>0</v>
      </c>
      <c r="D31" s="71">
        <f>SUMIFS(RegisterChk[Withdrawal (-)],RegisterChk[Transaction Month],"=" &amp;D$2,RegisterChk[Transaction Year],"="&amp;$C$1,RegisterChk[Category],"=" &amp;$A30)</f>
        <v>0</v>
      </c>
      <c r="E31" s="71">
        <f>SUMIFS(RegisterChk[Withdrawal (-)],RegisterChk[Transaction Month],"=" &amp;E$2,RegisterChk[Transaction Year],"="&amp;$C$1,RegisterChk[Category],"=" &amp;$A30)</f>
        <v>0</v>
      </c>
      <c r="F31" s="71">
        <f>SUMIFS(RegisterChk[Withdrawal (-)],RegisterChk[Transaction Month],"=" &amp;F$2,RegisterChk[Transaction Year],"="&amp;$C$1,RegisterChk[Category],"=" &amp;$A30)</f>
        <v>0</v>
      </c>
      <c r="G31" s="71">
        <f>SUMIFS(RegisterChk[Withdrawal (-)],RegisterChk[Transaction Month],"=" &amp;G$2,RegisterChk[Transaction Year],"="&amp;$C$1,RegisterChk[Category],"=" &amp;$A30)</f>
        <v>0</v>
      </c>
      <c r="H31" s="71">
        <f>SUMIFS(RegisterChk[Withdrawal (-)],RegisterChk[Transaction Month],"=" &amp;H$2,RegisterChk[Transaction Year],"="&amp;$C$1,RegisterChk[Category],"=" &amp;$A30)</f>
        <v>0</v>
      </c>
      <c r="I31" s="71">
        <f>SUMIFS(RegisterChk[Withdrawal (-)],RegisterChk[Transaction Month],"=" &amp;I$2,RegisterChk[Transaction Year],"="&amp;$C$1,RegisterChk[Category],"=" &amp;$A30)</f>
        <v>0</v>
      </c>
      <c r="J31" s="71">
        <f>SUMIFS(RegisterChk[Withdrawal (-)],RegisterChk[Transaction Month],"=" &amp;J$2,RegisterChk[Transaction Year],"="&amp;$C$1,RegisterChk[Category],"=" &amp;$A30)</f>
        <v>0</v>
      </c>
      <c r="K31" s="71">
        <f>SUMIFS(RegisterChk[Withdrawal (-)],RegisterChk[Transaction Month],"=" &amp;K$2,RegisterChk[Transaction Year],"="&amp;$C$1,RegisterChk[Category],"=" &amp;$A30)</f>
        <v>0</v>
      </c>
      <c r="L31" s="71">
        <f>SUMIFS(RegisterChk[Withdrawal (-)],RegisterChk[Transaction Month],"=" &amp;L$2,RegisterChk[Transaction Year],"="&amp;$C$1,RegisterChk[Category],"=" &amp;$A30)</f>
        <v>0</v>
      </c>
      <c r="M31" s="71">
        <f>SUMIFS(RegisterChk[Withdrawal (-)],RegisterChk[Transaction Month],"=" &amp;M$2,RegisterChk[Transaction Year],"="&amp;$C$1,RegisterChk[Category],"=" &amp;$A30)</f>
        <v>0</v>
      </c>
      <c r="N31" s="72">
        <f>SUM(tblExpenseCategory_03[[#This Row],[jan]:[dec]])</f>
        <v>0</v>
      </c>
      <c r="O31" s="72">
        <f t="shared" ref="O31:O34" ca="1" si="6">SUM(B31:M31)/MONTH(NOW())</f>
        <v>0</v>
      </c>
    </row>
    <row r="32" spans="1:15" ht="16.5" customHeight="1" x14ac:dyDescent="0.25">
      <c r="A32" s="57" t="s">
        <v>66</v>
      </c>
      <c r="B32" s="71">
        <f>SUMIFS(RegisterChk[Withdrawal (-)],RegisterChk[Transaction Month],"=" &amp;B$2,RegisterChk[Transaction Year],"="&amp;$C$1,RegisterChk[Category],"=" &amp;$A31)</f>
        <v>0</v>
      </c>
      <c r="C32" s="71">
        <f>SUMIFS(RegisterChk[Withdrawal (-)],RegisterChk[Transaction Month],"=" &amp;C$2,RegisterChk[Transaction Year],"="&amp;$C$1,RegisterChk[Category],"=" &amp;$A31)</f>
        <v>0</v>
      </c>
      <c r="D32" s="71">
        <f>SUMIFS(RegisterChk[Withdrawal (-)],RegisterChk[Transaction Month],"=" &amp;D$2,RegisterChk[Transaction Year],"="&amp;$C$1,RegisterChk[Category],"=" &amp;$A31)</f>
        <v>0</v>
      </c>
      <c r="E32" s="71">
        <f>SUMIFS(RegisterChk[Withdrawal (-)],RegisterChk[Transaction Month],"=" &amp;E$2,RegisterChk[Transaction Year],"="&amp;$C$1,RegisterChk[Category],"=" &amp;$A31)</f>
        <v>0</v>
      </c>
      <c r="F32" s="71">
        <f>SUMIFS(RegisterChk[Withdrawal (-)],RegisterChk[Transaction Month],"=" &amp;F$2,RegisterChk[Transaction Year],"="&amp;$C$1,RegisterChk[Category],"=" &amp;$A31)</f>
        <v>0</v>
      </c>
      <c r="G32" s="71">
        <f>SUMIFS(RegisterChk[Withdrawal (-)],RegisterChk[Transaction Month],"=" &amp;G$2,RegisterChk[Transaction Year],"="&amp;$C$1,RegisterChk[Category],"=" &amp;$A31)</f>
        <v>0</v>
      </c>
      <c r="H32" s="71">
        <f>SUMIFS(RegisterChk[Withdrawal (-)],RegisterChk[Transaction Month],"=" &amp;H$2,RegisterChk[Transaction Year],"="&amp;$C$1,RegisterChk[Category],"=" &amp;$A31)</f>
        <v>0</v>
      </c>
      <c r="I32" s="71">
        <f>SUMIFS(RegisterChk[Withdrawal (-)],RegisterChk[Transaction Month],"=" &amp;I$2,RegisterChk[Transaction Year],"="&amp;$C$1,RegisterChk[Category],"=" &amp;$A31)</f>
        <v>0</v>
      </c>
      <c r="J32" s="71">
        <f>SUMIFS(RegisterChk[Withdrawal (-)],RegisterChk[Transaction Month],"=" &amp;J$2,RegisterChk[Transaction Year],"="&amp;$C$1,RegisterChk[Category],"=" &amp;$A31)</f>
        <v>0</v>
      </c>
      <c r="K32" s="71">
        <f>SUMIFS(RegisterChk[Withdrawal (-)],RegisterChk[Transaction Month],"=" &amp;K$2,RegisterChk[Transaction Year],"="&amp;$C$1,RegisterChk[Category],"=" &amp;$A31)</f>
        <v>0</v>
      </c>
      <c r="L32" s="71">
        <f>SUMIFS(RegisterChk[Withdrawal (-)],RegisterChk[Transaction Month],"=" &amp;L$2,RegisterChk[Transaction Year],"="&amp;$C$1,RegisterChk[Category],"=" &amp;$A31)</f>
        <v>0</v>
      </c>
      <c r="M32" s="71">
        <f>SUMIFS(RegisterChk[Withdrawal (-)],RegisterChk[Transaction Month],"=" &amp;M$2,RegisterChk[Transaction Year],"="&amp;$C$1,RegisterChk[Category],"=" &amp;$A31)</f>
        <v>0</v>
      </c>
      <c r="N32" s="72">
        <f>SUM(tblExpenseCategory_03[[#This Row],[jan]:[dec]])</f>
        <v>0</v>
      </c>
      <c r="O32" s="72">
        <f t="shared" ca="1" si="6"/>
        <v>0</v>
      </c>
    </row>
    <row r="33" spans="1:15" ht="16.5" customHeight="1" x14ac:dyDescent="0.25">
      <c r="A33" s="57" t="s">
        <v>68</v>
      </c>
      <c r="B33" s="71">
        <f>SUMIFS(RegisterChk[Withdrawal (-)],RegisterChk[Transaction Month],"=" &amp;B$2,RegisterChk[Transaction Year],"="&amp;$C$1,RegisterChk[Category],"=" &amp;$A32)</f>
        <v>0</v>
      </c>
      <c r="C33" s="71">
        <f>SUMIFS(RegisterChk[Withdrawal (-)],RegisterChk[Transaction Month],"=" &amp;C$2,RegisterChk[Transaction Year],"="&amp;$C$1,RegisterChk[Category],"=" &amp;$A32)</f>
        <v>0</v>
      </c>
      <c r="D33" s="71">
        <f>SUMIFS(RegisterChk[Withdrawal (-)],RegisterChk[Transaction Month],"=" &amp;D$2,RegisterChk[Transaction Year],"="&amp;$C$1,RegisterChk[Category],"=" &amp;$A32)</f>
        <v>0</v>
      </c>
      <c r="E33" s="71">
        <f>SUMIFS(RegisterChk[Withdrawal (-)],RegisterChk[Transaction Month],"=" &amp;E$2,RegisterChk[Transaction Year],"="&amp;$C$1,RegisterChk[Category],"=" &amp;$A32)</f>
        <v>0</v>
      </c>
      <c r="F33" s="71">
        <f>SUMIFS(RegisterChk[Withdrawal (-)],RegisterChk[Transaction Month],"=" &amp;F$2,RegisterChk[Transaction Year],"="&amp;$C$1,RegisterChk[Category],"=" &amp;$A32)</f>
        <v>0</v>
      </c>
      <c r="G33" s="71">
        <f>SUMIFS(RegisterChk[Withdrawal (-)],RegisterChk[Transaction Month],"=" &amp;G$2,RegisterChk[Transaction Year],"="&amp;$C$1,RegisterChk[Category],"=" &amp;$A32)</f>
        <v>0</v>
      </c>
      <c r="H33" s="71">
        <f>SUMIFS(RegisterChk[Withdrawal (-)],RegisterChk[Transaction Month],"=" &amp;H$2,RegisterChk[Transaction Year],"="&amp;$C$1,RegisterChk[Category],"=" &amp;$A32)</f>
        <v>0</v>
      </c>
      <c r="I33" s="71">
        <f>SUMIFS(RegisterChk[Withdrawal (-)],RegisterChk[Transaction Month],"=" &amp;I$2,RegisterChk[Transaction Year],"="&amp;$C$1,RegisterChk[Category],"=" &amp;$A32)</f>
        <v>0</v>
      </c>
      <c r="J33" s="71">
        <f>SUMIFS(RegisterChk[Withdrawal (-)],RegisterChk[Transaction Month],"=" &amp;J$2,RegisterChk[Transaction Year],"="&amp;$C$1,RegisterChk[Category],"=" &amp;$A32)</f>
        <v>0</v>
      </c>
      <c r="K33" s="71">
        <f>SUMIFS(RegisterChk[Withdrawal (-)],RegisterChk[Transaction Month],"=" &amp;K$2,RegisterChk[Transaction Year],"="&amp;$C$1,RegisterChk[Category],"=" &amp;$A32)</f>
        <v>0</v>
      </c>
      <c r="L33" s="71">
        <f>SUMIFS(RegisterChk[Withdrawal (-)],RegisterChk[Transaction Month],"=" &amp;L$2,RegisterChk[Transaction Year],"="&amp;$C$1,RegisterChk[Category],"=" &amp;$A32)</f>
        <v>0</v>
      </c>
      <c r="M33" s="71">
        <f>SUMIFS(RegisterChk[Withdrawal (-)],RegisterChk[Transaction Month],"=" &amp;M$2,RegisterChk[Transaction Year],"="&amp;$C$1,RegisterChk[Category],"=" &amp;$A32)</f>
        <v>0</v>
      </c>
      <c r="N33" s="72">
        <f>SUM(tblExpenseCategory_03[[#This Row],[jan]:[dec]])</f>
        <v>0</v>
      </c>
      <c r="O33" s="72">
        <f t="shared" ca="1" si="6"/>
        <v>0</v>
      </c>
    </row>
    <row r="34" spans="1:15" ht="16.5" customHeight="1" x14ac:dyDescent="0.25">
      <c r="A34" s="116" t="str">
        <f>UPPER("Total " &amp; A30)</f>
        <v>TOTAL ENTERTAINMENT</v>
      </c>
      <c r="B34" s="117">
        <f>SUM(tblExpenseCategory_03[jan])</f>
        <v>0</v>
      </c>
      <c r="C34" s="117">
        <f>SUM(tblExpenseCategory_03[feb])</f>
        <v>0</v>
      </c>
      <c r="D34" s="117">
        <f>SUM(tblExpenseCategory_03[mar])</f>
        <v>0</v>
      </c>
      <c r="E34" s="117">
        <f>SUM(tblExpenseCategory_03[apr])</f>
        <v>0</v>
      </c>
      <c r="F34" s="117">
        <f>SUM(tblExpenseCategory_03[may])</f>
        <v>0</v>
      </c>
      <c r="G34" s="117">
        <f>SUM(tblExpenseCategory_03[jun])</f>
        <v>0</v>
      </c>
      <c r="H34" s="117">
        <f>SUM(tblExpenseCategory_03[jul])</f>
        <v>0</v>
      </c>
      <c r="I34" s="117">
        <f>SUM(tblExpenseCategory_03[aug])</f>
        <v>0</v>
      </c>
      <c r="J34" s="117">
        <f>SUM(tblExpenseCategory_03[sep])</f>
        <v>0</v>
      </c>
      <c r="K34" s="117">
        <f>SUM(tblExpenseCategory_03[oct])</f>
        <v>0</v>
      </c>
      <c r="L34" s="117">
        <f>SUM(tblExpenseCategory_03[nov])</f>
        <v>0</v>
      </c>
      <c r="M34" s="117">
        <f>SUM(tblExpenseCategory_03[dec])</f>
        <v>0</v>
      </c>
      <c r="N34" s="118">
        <f>SUM(tblExpenseCategory_03[year])</f>
        <v>0</v>
      </c>
      <c r="O34" s="118">
        <f t="shared" ca="1" si="6"/>
        <v>0</v>
      </c>
    </row>
    <row r="35" spans="1:15" ht="16.5" customHeight="1" x14ac:dyDescent="0.25">
      <c r="A35" s="133"/>
      <c r="B35" s="133"/>
      <c r="C35" s="133"/>
      <c r="D35" s="133"/>
      <c r="E35" s="133"/>
      <c r="F35" s="133"/>
      <c r="G35" s="133"/>
      <c r="H35" s="133"/>
      <c r="I35" s="133"/>
      <c r="J35" s="133"/>
      <c r="K35" s="133"/>
      <c r="L35" s="133"/>
      <c r="M35" s="133"/>
      <c r="N35" s="63"/>
      <c r="O35" s="63"/>
    </row>
    <row r="36" spans="1:15" ht="16.5" customHeight="1" thickBot="1" x14ac:dyDescent="0.3">
      <c r="A36" s="58"/>
      <c r="B36" s="64"/>
      <c r="C36" s="64"/>
      <c r="D36" s="64"/>
      <c r="E36" s="64"/>
      <c r="F36" s="64"/>
      <c r="G36" s="64"/>
      <c r="H36" s="64"/>
      <c r="I36" s="64"/>
      <c r="J36" s="64"/>
      <c r="K36" s="64"/>
      <c r="L36" s="64"/>
      <c r="M36" s="64"/>
      <c r="N36" s="63"/>
      <c r="O36" s="63"/>
    </row>
    <row r="37" spans="1:15" ht="16.5" customHeight="1" thickTop="1" x14ac:dyDescent="0.25">
      <c r="A37" s="77" t="s">
        <v>19</v>
      </c>
      <c r="B37" s="65"/>
      <c r="C37" s="65"/>
      <c r="D37" s="65"/>
      <c r="E37" s="65"/>
      <c r="F37" s="65"/>
      <c r="G37" s="65"/>
      <c r="H37" s="65"/>
      <c r="I37" s="65"/>
      <c r="J37" s="65"/>
      <c r="K37" s="65"/>
      <c r="L37" s="65"/>
      <c r="M37" s="65"/>
      <c r="N37" s="66"/>
      <c r="O37" s="66"/>
    </row>
    <row r="38" spans="1:15" ht="16.5" customHeight="1" x14ac:dyDescent="0.25">
      <c r="A38" s="57" t="s">
        <v>65</v>
      </c>
      <c r="B38" s="71">
        <f>SUMIFS(RegisterChk[Withdrawal (-)],RegisterChk[Transaction Month],"=" &amp;B$2,RegisterChk[Transaction Year],"="&amp;$C$1,RegisterChk[Category],"=" &amp;$A37)</f>
        <v>0</v>
      </c>
      <c r="C38" s="71">
        <f>SUMIFS(RegisterChk[Withdrawal (-)],RegisterChk[Transaction Month],"=" &amp;C$2,RegisterChk[Transaction Year],"="&amp;$C$1,RegisterChk[Category],"=" &amp;$A37)</f>
        <v>0</v>
      </c>
      <c r="D38" s="71">
        <f>SUMIFS(RegisterChk[Withdrawal (-)],RegisterChk[Transaction Month],"=" &amp;D$2,RegisterChk[Transaction Year],"="&amp;$C$1,RegisterChk[Category],"=" &amp;$A37)</f>
        <v>0</v>
      </c>
      <c r="E38" s="71">
        <f>SUMIFS(RegisterChk[Withdrawal (-)],RegisterChk[Transaction Month],"=" &amp;E$2,RegisterChk[Transaction Year],"="&amp;$C$1,RegisterChk[Category],"=" &amp;$A37)</f>
        <v>0</v>
      </c>
      <c r="F38" s="71">
        <f>SUMIFS(RegisterChk[Withdrawal (-)],RegisterChk[Transaction Month],"=" &amp;F$2,RegisterChk[Transaction Year],"="&amp;$C$1,RegisterChk[Category],"=" &amp;$A37)</f>
        <v>0</v>
      </c>
      <c r="G38" s="71">
        <f>SUMIFS(RegisterChk[Withdrawal (-)],RegisterChk[Transaction Month],"=" &amp;G$2,RegisterChk[Transaction Year],"="&amp;$C$1,RegisterChk[Category],"=" &amp;$A37)</f>
        <v>0</v>
      </c>
      <c r="H38" s="71">
        <f>SUMIFS(RegisterChk[Withdrawal (-)],RegisterChk[Transaction Month],"=" &amp;H$2,RegisterChk[Transaction Year],"="&amp;$C$1,RegisterChk[Category],"=" &amp;$A37)</f>
        <v>0</v>
      </c>
      <c r="I38" s="71">
        <f>SUMIFS(RegisterChk[Withdrawal (-)],RegisterChk[Transaction Month],"=" &amp;I$2,RegisterChk[Transaction Year],"="&amp;$C$1,RegisterChk[Category],"=" &amp;$A37)</f>
        <v>0</v>
      </c>
      <c r="J38" s="71">
        <f>SUMIFS(RegisterChk[Withdrawal (-)],RegisterChk[Transaction Month],"=" &amp;J$2,RegisterChk[Transaction Year],"="&amp;$C$1,RegisterChk[Category],"=" &amp;$A37)</f>
        <v>0</v>
      </c>
      <c r="K38" s="71">
        <f>SUMIFS(RegisterChk[Withdrawal (-)],RegisterChk[Transaction Month],"=" &amp;K$2,RegisterChk[Transaction Year],"="&amp;$C$1,RegisterChk[Category],"=" &amp;$A37)</f>
        <v>0</v>
      </c>
      <c r="L38" s="71">
        <f>SUMIFS(RegisterChk[Withdrawal (-)],RegisterChk[Transaction Month],"=" &amp;L$2,RegisterChk[Transaction Year],"="&amp;$C$1,RegisterChk[Category],"=" &amp;$A37)</f>
        <v>0</v>
      </c>
      <c r="M38" s="71">
        <f>SUMIFS(RegisterChk[Withdrawal (-)],RegisterChk[Transaction Month],"=" &amp;M$2,RegisterChk[Transaction Year],"="&amp;$C$1,RegisterChk[Category],"=" &amp;$A37)</f>
        <v>0</v>
      </c>
      <c r="N38" s="72">
        <f>SUM(tblExpenseCategory_04[[#This Row],[jan]:[dec]])</f>
        <v>0</v>
      </c>
      <c r="O38" s="72">
        <f t="shared" ref="O38:O40" ca="1" si="7">SUM(B38:M38)/MONTH(NOW())</f>
        <v>0</v>
      </c>
    </row>
    <row r="39" spans="1:15" ht="16.5" customHeight="1" x14ac:dyDescent="0.25">
      <c r="A39" s="57" t="s">
        <v>66</v>
      </c>
      <c r="B39" s="71">
        <f>SUMIFS(RegisterChk[Withdrawal (-)],RegisterChk[Transaction Month],"=" &amp;B$2,RegisterChk[Transaction Year],"="&amp;$C$1,RegisterChk[Category],"=" &amp;$A38)</f>
        <v>0</v>
      </c>
      <c r="C39" s="71">
        <f>SUMIFS(RegisterChk[Withdrawal (-)],RegisterChk[Transaction Month],"=" &amp;C$2,RegisterChk[Transaction Year],"="&amp;$C$1,RegisterChk[Category],"=" &amp;$A38)</f>
        <v>0</v>
      </c>
      <c r="D39" s="71">
        <f>SUMIFS(RegisterChk[Withdrawal (-)],RegisterChk[Transaction Month],"=" &amp;D$2,RegisterChk[Transaction Year],"="&amp;$C$1,RegisterChk[Category],"=" &amp;$A38)</f>
        <v>0</v>
      </c>
      <c r="E39" s="71">
        <f>SUMIFS(RegisterChk[Withdrawal (-)],RegisterChk[Transaction Month],"=" &amp;E$2,RegisterChk[Transaction Year],"="&amp;$C$1,RegisterChk[Category],"=" &amp;$A38)</f>
        <v>0</v>
      </c>
      <c r="F39" s="71">
        <f>SUMIFS(RegisterChk[Withdrawal (-)],RegisterChk[Transaction Month],"=" &amp;F$2,RegisterChk[Transaction Year],"="&amp;$C$1,RegisterChk[Category],"=" &amp;$A38)</f>
        <v>0</v>
      </c>
      <c r="G39" s="71">
        <f>SUMIFS(RegisterChk[Withdrawal (-)],RegisterChk[Transaction Month],"=" &amp;G$2,RegisterChk[Transaction Year],"="&amp;$C$1,RegisterChk[Category],"=" &amp;$A38)</f>
        <v>0</v>
      </c>
      <c r="H39" s="71">
        <f>SUMIFS(RegisterChk[Withdrawal (-)],RegisterChk[Transaction Month],"=" &amp;H$2,RegisterChk[Transaction Year],"="&amp;$C$1,RegisterChk[Category],"=" &amp;$A38)</f>
        <v>0</v>
      </c>
      <c r="I39" s="71">
        <f>SUMIFS(RegisterChk[Withdrawal (-)],RegisterChk[Transaction Month],"=" &amp;I$2,RegisterChk[Transaction Year],"="&amp;$C$1,RegisterChk[Category],"=" &amp;$A38)</f>
        <v>0</v>
      </c>
      <c r="J39" s="71">
        <f>SUMIFS(RegisterChk[Withdrawal (-)],RegisterChk[Transaction Month],"=" &amp;J$2,RegisterChk[Transaction Year],"="&amp;$C$1,RegisterChk[Category],"=" &amp;$A38)</f>
        <v>0</v>
      </c>
      <c r="K39" s="71">
        <f>SUMIFS(RegisterChk[Withdrawal (-)],RegisterChk[Transaction Month],"=" &amp;K$2,RegisterChk[Transaction Year],"="&amp;$C$1,RegisterChk[Category],"=" &amp;$A38)</f>
        <v>0</v>
      </c>
      <c r="L39" s="71">
        <f>SUMIFS(RegisterChk[Withdrawal (-)],RegisterChk[Transaction Month],"=" &amp;L$2,RegisterChk[Transaction Year],"="&amp;$C$1,RegisterChk[Category],"=" &amp;$A38)</f>
        <v>0</v>
      </c>
      <c r="M39" s="71">
        <f>SUMIFS(RegisterChk[Withdrawal (-)],RegisterChk[Transaction Month],"=" &amp;M$2,RegisterChk[Transaction Year],"="&amp;$C$1,RegisterChk[Category],"=" &amp;$A38)</f>
        <v>0</v>
      </c>
      <c r="N39" s="72">
        <f>SUM(tblExpenseCategory_04[[#This Row],[jan]:[dec]])</f>
        <v>0</v>
      </c>
      <c r="O39" s="72">
        <f t="shared" ca="1" si="7"/>
        <v>0</v>
      </c>
    </row>
    <row r="40" spans="1:15" ht="16.5" customHeight="1" x14ac:dyDescent="0.25">
      <c r="A40" s="57" t="s">
        <v>68</v>
      </c>
      <c r="B40" s="71">
        <f>SUMIFS(RegisterChk[Withdrawal (-)],RegisterChk[Transaction Month],"=" &amp;B$2,RegisterChk[Transaction Year],"="&amp;$C$1,RegisterChk[Category],"=" &amp;$A39)</f>
        <v>0</v>
      </c>
      <c r="C40" s="71">
        <f>SUMIFS(RegisterChk[Withdrawal (-)],RegisterChk[Transaction Month],"=" &amp;C$2,RegisterChk[Transaction Year],"="&amp;$C$1,RegisterChk[Category],"=" &amp;$A39)</f>
        <v>0</v>
      </c>
      <c r="D40" s="71">
        <f>SUMIFS(RegisterChk[Withdrawal (-)],RegisterChk[Transaction Month],"=" &amp;D$2,RegisterChk[Transaction Year],"="&amp;$C$1,RegisterChk[Category],"=" &amp;$A39)</f>
        <v>0</v>
      </c>
      <c r="E40" s="71">
        <f>SUMIFS(RegisterChk[Withdrawal (-)],RegisterChk[Transaction Month],"=" &amp;E$2,RegisterChk[Transaction Year],"="&amp;$C$1,RegisterChk[Category],"=" &amp;$A39)</f>
        <v>0</v>
      </c>
      <c r="F40" s="71">
        <f>SUMIFS(RegisterChk[Withdrawal (-)],RegisterChk[Transaction Month],"=" &amp;F$2,RegisterChk[Transaction Year],"="&amp;$C$1,RegisterChk[Category],"=" &amp;$A39)</f>
        <v>0</v>
      </c>
      <c r="G40" s="71">
        <f>SUMIFS(RegisterChk[Withdrawal (-)],RegisterChk[Transaction Month],"=" &amp;G$2,RegisterChk[Transaction Year],"="&amp;$C$1,RegisterChk[Category],"=" &amp;$A39)</f>
        <v>0</v>
      </c>
      <c r="H40" s="71">
        <f>SUMIFS(RegisterChk[Withdrawal (-)],RegisterChk[Transaction Month],"=" &amp;H$2,RegisterChk[Transaction Year],"="&amp;$C$1,RegisterChk[Category],"=" &amp;$A39)</f>
        <v>0</v>
      </c>
      <c r="I40" s="71">
        <f>SUMIFS(RegisterChk[Withdrawal (-)],RegisterChk[Transaction Month],"=" &amp;I$2,RegisterChk[Transaction Year],"="&amp;$C$1,RegisterChk[Category],"=" &amp;$A39)</f>
        <v>0</v>
      </c>
      <c r="J40" s="71">
        <f>SUMIFS(RegisterChk[Withdrawal (-)],RegisterChk[Transaction Month],"=" &amp;J$2,RegisterChk[Transaction Year],"="&amp;$C$1,RegisterChk[Category],"=" &amp;$A39)</f>
        <v>0</v>
      </c>
      <c r="K40" s="71">
        <f>SUMIFS(RegisterChk[Withdrawal (-)],RegisterChk[Transaction Month],"=" &amp;K$2,RegisterChk[Transaction Year],"="&amp;$C$1,RegisterChk[Category],"=" &amp;$A39)</f>
        <v>0</v>
      </c>
      <c r="L40" s="71">
        <f>SUMIFS(RegisterChk[Withdrawal (-)],RegisterChk[Transaction Month],"=" &amp;L$2,RegisterChk[Transaction Year],"="&amp;$C$1,RegisterChk[Category],"=" &amp;$A39)</f>
        <v>0</v>
      </c>
      <c r="M40" s="71">
        <f>SUMIFS(RegisterChk[Withdrawal (-)],RegisterChk[Transaction Month],"=" &amp;M$2,RegisterChk[Transaction Year],"="&amp;$C$1,RegisterChk[Category],"=" &amp;$A39)</f>
        <v>0</v>
      </c>
      <c r="N40" s="72">
        <f>SUM(tblExpenseCategory_04[[#This Row],[jan]:[dec]])</f>
        <v>0</v>
      </c>
      <c r="O40" s="72">
        <f t="shared" ca="1" si="7"/>
        <v>0</v>
      </c>
    </row>
    <row r="41" spans="1:15" ht="16.5" customHeight="1" x14ac:dyDescent="0.25">
      <c r="A41" s="116" t="str">
        <f>UPPER("Total " &amp; A37)</f>
        <v>TOTAL TRANSPORTATION</v>
      </c>
      <c r="B41" s="117">
        <f>SUM(tblExpenseCategory_04[jan])</f>
        <v>0</v>
      </c>
      <c r="C41" s="117">
        <f>SUM(tblExpenseCategory_04[feb])</f>
        <v>0</v>
      </c>
      <c r="D41" s="117">
        <f>SUM(tblExpenseCategory_04[mar])</f>
        <v>0</v>
      </c>
      <c r="E41" s="117">
        <f>SUM(tblExpenseCategory_04[apr])</f>
        <v>0</v>
      </c>
      <c r="F41" s="117">
        <f>SUM(tblExpenseCategory_04[may])</f>
        <v>0</v>
      </c>
      <c r="G41" s="117">
        <f>SUM(tblExpenseCategory_04[jun])</f>
        <v>0</v>
      </c>
      <c r="H41" s="117">
        <f>SUM(tblExpenseCategory_04[jul])</f>
        <v>0</v>
      </c>
      <c r="I41" s="117">
        <f>SUM(tblExpenseCategory_04[aug])</f>
        <v>0</v>
      </c>
      <c r="J41" s="117">
        <f>SUM(tblExpenseCategory_04[sep])</f>
        <v>0</v>
      </c>
      <c r="K41" s="117">
        <f>SUM(tblExpenseCategory_04[oct])</f>
        <v>0</v>
      </c>
      <c r="L41" s="117">
        <f>SUM(tblExpenseCategory_04[nov])</f>
        <v>0</v>
      </c>
      <c r="M41" s="117">
        <f>SUM(tblExpenseCategory_04[dec])</f>
        <v>0</v>
      </c>
      <c r="N41" s="118">
        <f>SUM(tblExpenseCategory_04[year])</f>
        <v>0</v>
      </c>
      <c r="O41" s="118">
        <f t="shared" ref="O41" ca="1" si="8">SUM(B41:M41)/MONTH(NOW())</f>
        <v>0</v>
      </c>
    </row>
    <row r="42" spans="1:15" ht="16.5" customHeight="1" x14ac:dyDescent="0.25">
      <c r="A42" s="133"/>
      <c r="B42" s="133"/>
      <c r="C42" s="133"/>
      <c r="D42" s="133"/>
      <c r="E42" s="133"/>
      <c r="F42" s="133"/>
      <c r="G42" s="133"/>
      <c r="H42" s="133"/>
      <c r="I42" s="133"/>
      <c r="J42" s="133"/>
      <c r="K42" s="133"/>
      <c r="L42" s="133"/>
      <c r="M42" s="133"/>
      <c r="N42" s="63"/>
      <c r="O42" s="63"/>
    </row>
    <row r="43" spans="1:15" ht="16.5" customHeight="1" thickBot="1" x14ac:dyDescent="0.3">
      <c r="A43" s="58"/>
      <c r="B43" s="64"/>
      <c r="C43" s="64"/>
      <c r="D43" s="64"/>
      <c r="E43" s="64"/>
      <c r="F43" s="64"/>
      <c r="G43" s="64"/>
      <c r="H43" s="64"/>
      <c r="I43" s="64"/>
      <c r="J43" s="64"/>
      <c r="K43" s="64"/>
      <c r="L43" s="64"/>
      <c r="M43" s="64"/>
      <c r="N43" s="63"/>
      <c r="O43" s="63"/>
    </row>
    <row r="44" spans="1:15" ht="16.5" customHeight="1" thickTop="1" x14ac:dyDescent="0.25">
      <c r="A44" s="77" t="s">
        <v>10</v>
      </c>
      <c r="B44" s="65"/>
      <c r="C44" s="65"/>
      <c r="D44" s="65"/>
      <c r="E44" s="65"/>
      <c r="F44" s="65"/>
      <c r="G44" s="65"/>
      <c r="H44" s="65"/>
      <c r="I44" s="65"/>
      <c r="J44" s="65"/>
      <c r="K44" s="65"/>
      <c r="L44" s="65"/>
      <c r="M44" s="65"/>
      <c r="N44" s="66"/>
      <c r="O44" s="66"/>
    </row>
    <row r="45" spans="1:15" ht="16.5" customHeight="1" x14ac:dyDescent="0.25">
      <c r="A45" s="57" t="s">
        <v>110</v>
      </c>
      <c r="B45" s="71">
        <f>SUMIFS(RegisterChk[Withdrawal (-)],RegisterChk[Transaction Month],"=" &amp;B$2,RegisterChk[Transaction Year],"="&amp;$C$1,RegisterChk[Category],"=" &amp;$A44)</f>
        <v>50</v>
      </c>
      <c r="C45" s="71">
        <f>SUMIFS(RegisterChk[Withdrawal (-)],RegisterChk[Transaction Month],"=" &amp;C$2,RegisterChk[Transaction Year],"="&amp;$C$1,RegisterChk[Category],"=" &amp;$A44)</f>
        <v>0</v>
      </c>
      <c r="D45" s="71">
        <f>SUMIFS(RegisterChk[Withdrawal (-)],RegisterChk[Transaction Month],"=" &amp;D$2,RegisterChk[Transaction Year],"="&amp;$C$1,RegisterChk[Category],"=" &amp;$A44)</f>
        <v>0</v>
      </c>
      <c r="E45" s="71">
        <f>SUMIFS(RegisterChk[Withdrawal (-)],RegisterChk[Transaction Month],"=" &amp;E$2,RegisterChk[Transaction Year],"="&amp;$C$1,RegisterChk[Category],"=" &amp;$A44)</f>
        <v>0</v>
      </c>
      <c r="F45" s="71">
        <f>SUMIFS(RegisterChk[Withdrawal (-)],RegisterChk[Transaction Month],"=" &amp;F$2,RegisterChk[Transaction Year],"="&amp;$C$1,RegisterChk[Category],"=" &amp;$A44)</f>
        <v>0</v>
      </c>
      <c r="G45" s="71">
        <f>SUMIFS(RegisterChk[Withdrawal (-)],RegisterChk[Transaction Month],"=" &amp;G$2,RegisterChk[Transaction Year],"="&amp;$C$1,RegisterChk[Category],"=" &amp;$A44)</f>
        <v>0</v>
      </c>
      <c r="H45" s="71">
        <f>SUMIFS(RegisterChk[Withdrawal (-)],RegisterChk[Transaction Month],"=" &amp;H$2,RegisterChk[Transaction Year],"="&amp;$C$1,RegisterChk[Category],"=" &amp;$A44)</f>
        <v>0</v>
      </c>
      <c r="I45" s="71">
        <f>SUMIFS(RegisterChk[Withdrawal (-)],RegisterChk[Transaction Month],"=" &amp;I$2,RegisterChk[Transaction Year],"="&amp;$C$1,RegisterChk[Category],"=" &amp;$A44)</f>
        <v>0</v>
      </c>
      <c r="J45" s="71">
        <f>SUMIFS(RegisterChk[Withdrawal (-)],RegisterChk[Transaction Month],"=" &amp;J$2,RegisterChk[Transaction Year],"="&amp;$C$1,RegisterChk[Category],"=" &amp;$A44)</f>
        <v>0</v>
      </c>
      <c r="K45" s="71">
        <f>SUMIFS(RegisterChk[Withdrawal (-)],RegisterChk[Transaction Month],"=" &amp;K$2,RegisterChk[Transaction Year],"="&amp;$C$1,RegisterChk[Category],"=" &amp;$A44)</f>
        <v>0</v>
      </c>
      <c r="L45" s="71">
        <f>SUMIFS(RegisterChk[Withdrawal (-)],RegisterChk[Transaction Month],"=" &amp;L$2,RegisterChk[Transaction Year],"="&amp;$C$1,RegisterChk[Category],"=" &amp;$A44)</f>
        <v>0</v>
      </c>
      <c r="M45" s="71">
        <f>SUMIFS(RegisterChk[Withdrawal (-)],RegisterChk[Transaction Month],"=" &amp;M$2,RegisterChk[Transaction Year],"="&amp;$C$1,RegisterChk[Category],"=" &amp;$A44)</f>
        <v>0</v>
      </c>
      <c r="N45" s="72">
        <f>SUM(tblExpenseCategory_05[[#This Row],[jan]:[dec]])</f>
        <v>50</v>
      </c>
      <c r="O45" s="72">
        <f t="shared" ref="O45:O47" ca="1" si="9">SUM(B45:M45)/MONTH(NOW())</f>
        <v>16.666666666666668</v>
      </c>
    </row>
    <row r="46" spans="1:15" ht="16.5" customHeight="1" x14ac:dyDescent="0.25">
      <c r="A46" s="57" t="s">
        <v>111</v>
      </c>
      <c r="B46" s="71">
        <f>SUMIFS(RegisterChk[Withdrawal (-)],RegisterChk[Transaction Month],"=" &amp;B$2,RegisterChk[Transaction Year],"="&amp;$C$1,RegisterChk[Category],"=" &amp;$A45)</f>
        <v>0</v>
      </c>
      <c r="C46" s="71">
        <f>SUMIFS(RegisterChk[Withdrawal (-)],RegisterChk[Transaction Month],"=" &amp;C$2,RegisterChk[Transaction Year],"="&amp;$C$1,RegisterChk[Category],"=" &amp;$A45)</f>
        <v>0</v>
      </c>
      <c r="D46" s="71">
        <f>SUMIFS(RegisterChk[Withdrawal (-)],RegisterChk[Transaction Month],"=" &amp;D$2,RegisterChk[Transaction Year],"="&amp;$C$1,RegisterChk[Category],"=" &amp;$A45)</f>
        <v>0</v>
      </c>
      <c r="E46" s="71">
        <f>SUMIFS(RegisterChk[Withdrawal (-)],RegisterChk[Transaction Month],"=" &amp;E$2,RegisterChk[Transaction Year],"="&amp;$C$1,RegisterChk[Category],"=" &amp;$A45)</f>
        <v>0</v>
      </c>
      <c r="F46" s="71">
        <f>SUMIFS(RegisterChk[Withdrawal (-)],RegisterChk[Transaction Month],"=" &amp;F$2,RegisterChk[Transaction Year],"="&amp;$C$1,RegisterChk[Category],"=" &amp;$A45)</f>
        <v>0</v>
      </c>
      <c r="G46" s="71">
        <f>SUMIFS(RegisterChk[Withdrawal (-)],RegisterChk[Transaction Month],"=" &amp;G$2,RegisterChk[Transaction Year],"="&amp;$C$1,RegisterChk[Category],"=" &amp;$A45)</f>
        <v>0</v>
      </c>
      <c r="H46" s="71">
        <f>SUMIFS(RegisterChk[Withdrawal (-)],RegisterChk[Transaction Month],"=" &amp;H$2,RegisterChk[Transaction Year],"="&amp;$C$1,RegisterChk[Category],"=" &amp;$A45)</f>
        <v>0</v>
      </c>
      <c r="I46" s="71">
        <f>SUMIFS(RegisterChk[Withdrawal (-)],RegisterChk[Transaction Month],"=" &amp;I$2,RegisterChk[Transaction Year],"="&amp;$C$1,RegisterChk[Category],"=" &amp;$A45)</f>
        <v>0</v>
      </c>
      <c r="J46" s="71">
        <f>SUMIFS(RegisterChk[Withdrawal (-)],RegisterChk[Transaction Month],"=" &amp;J$2,RegisterChk[Transaction Year],"="&amp;$C$1,RegisterChk[Category],"=" &amp;$A45)</f>
        <v>0</v>
      </c>
      <c r="K46" s="71">
        <f>SUMIFS(RegisterChk[Withdrawal (-)],RegisterChk[Transaction Month],"=" &amp;K$2,RegisterChk[Transaction Year],"="&amp;$C$1,RegisterChk[Category],"=" &amp;$A45)</f>
        <v>0</v>
      </c>
      <c r="L46" s="71">
        <f>SUMIFS(RegisterChk[Withdrawal (-)],RegisterChk[Transaction Month],"=" &amp;L$2,RegisterChk[Transaction Year],"="&amp;$C$1,RegisterChk[Category],"=" &amp;$A45)</f>
        <v>0</v>
      </c>
      <c r="M46" s="71">
        <f>SUMIFS(RegisterChk[Withdrawal (-)],RegisterChk[Transaction Month],"=" &amp;M$2,RegisterChk[Transaction Year],"="&amp;$C$1,RegisterChk[Category],"=" &amp;$A45)</f>
        <v>0</v>
      </c>
      <c r="N46" s="72">
        <f>SUM(tblExpenseCategory_05[[#This Row],[jan]:[dec]])</f>
        <v>0</v>
      </c>
      <c r="O46" s="72">
        <f t="shared" ca="1" si="9"/>
        <v>0</v>
      </c>
    </row>
    <row r="47" spans="1:15" ht="16.5" customHeight="1" x14ac:dyDescent="0.25">
      <c r="A47" s="57" t="s">
        <v>112</v>
      </c>
      <c r="B47" s="71">
        <f>SUMIFS(RegisterChk[Withdrawal (-)],RegisterChk[Transaction Month],"=" &amp;B$2,RegisterChk[Transaction Year],"="&amp;$C$1,RegisterChk[Category],"=" &amp;$A46)</f>
        <v>0</v>
      </c>
      <c r="C47" s="71">
        <f>SUMIFS(RegisterChk[Withdrawal (-)],RegisterChk[Transaction Month],"=" &amp;C$2,RegisterChk[Transaction Year],"="&amp;$C$1,RegisterChk[Category],"=" &amp;$A46)</f>
        <v>0</v>
      </c>
      <c r="D47" s="71">
        <f>SUMIFS(RegisterChk[Withdrawal (-)],RegisterChk[Transaction Month],"=" &amp;D$2,RegisterChk[Transaction Year],"="&amp;$C$1,RegisterChk[Category],"=" &amp;$A46)</f>
        <v>0</v>
      </c>
      <c r="E47" s="71">
        <f>SUMIFS(RegisterChk[Withdrawal (-)],RegisterChk[Transaction Month],"=" &amp;E$2,RegisterChk[Transaction Year],"="&amp;$C$1,RegisterChk[Category],"=" &amp;$A46)</f>
        <v>0</v>
      </c>
      <c r="F47" s="71">
        <f>SUMIFS(RegisterChk[Withdrawal (-)],RegisterChk[Transaction Month],"=" &amp;F$2,RegisterChk[Transaction Year],"="&amp;$C$1,RegisterChk[Category],"=" &amp;$A46)</f>
        <v>0</v>
      </c>
      <c r="G47" s="71">
        <f>SUMIFS(RegisterChk[Withdrawal (-)],RegisterChk[Transaction Month],"=" &amp;G$2,RegisterChk[Transaction Year],"="&amp;$C$1,RegisterChk[Category],"=" &amp;$A46)</f>
        <v>0</v>
      </c>
      <c r="H47" s="71">
        <f>SUMIFS(RegisterChk[Withdrawal (-)],RegisterChk[Transaction Month],"=" &amp;H$2,RegisterChk[Transaction Year],"="&amp;$C$1,RegisterChk[Category],"=" &amp;$A46)</f>
        <v>0</v>
      </c>
      <c r="I47" s="71">
        <f>SUMIFS(RegisterChk[Withdrawal (-)],RegisterChk[Transaction Month],"=" &amp;I$2,RegisterChk[Transaction Year],"="&amp;$C$1,RegisterChk[Category],"=" &amp;$A46)</f>
        <v>0</v>
      </c>
      <c r="J47" s="71">
        <f>SUMIFS(RegisterChk[Withdrawal (-)],RegisterChk[Transaction Month],"=" &amp;J$2,RegisterChk[Transaction Year],"="&amp;$C$1,RegisterChk[Category],"=" &amp;$A46)</f>
        <v>0</v>
      </c>
      <c r="K47" s="71">
        <f>SUMIFS(RegisterChk[Withdrawal (-)],RegisterChk[Transaction Month],"=" &amp;K$2,RegisterChk[Transaction Year],"="&amp;$C$1,RegisterChk[Category],"=" &amp;$A46)</f>
        <v>0</v>
      </c>
      <c r="L47" s="71">
        <f>SUMIFS(RegisterChk[Withdrawal (-)],RegisterChk[Transaction Month],"=" &amp;L$2,RegisterChk[Transaction Year],"="&amp;$C$1,RegisterChk[Category],"=" &amp;$A46)</f>
        <v>0</v>
      </c>
      <c r="M47" s="71">
        <f>SUMIFS(RegisterChk[Withdrawal (-)],RegisterChk[Transaction Month],"=" &amp;M$2,RegisterChk[Transaction Year],"="&amp;$C$1,RegisterChk[Category],"=" &amp;$A46)</f>
        <v>0</v>
      </c>
      <c r="N47" s="72">
        <f>SUM(tblExpenseCategory_05[[#This Row],[jan]:[dec]])</f>
        <v>0</v>
      </c>
      <c r="O47" s="72">
        <f t="shared" ca="1" si="9"/>
        <v>0</v>
      </c>
    </row>
    <row r="48" spans="1:15" ht="16.5" customHeight="1" x14ac:dyDescent="0.25">
      <c r="A48" s="116" t="str">
        <f>UPPER("Total " &amp; A44)</f>
        <v>TOTAL UTILITIES</v>
      </c>
      <c r="B48" s="117">
        <f>SUM(tblExpenseCategory_05[jan])</f>
        <v>50</v>
      </c>
      <c r="C48" s="117">
        <f>SUM(tblExpenseCategory_05[feb])</f>
        <v>0</v>
      </c>
      <c r="D48" s="117">
        <f>SUM(tblExpenseCategory_05[mar])</f>
        <v>0</v>
      </c>
      <c r="E48" s="117">
        <f>SUM(tblExpenseCategory_05[apr])</f>
        <v>0</v>
      </c>
      <c r="F48" s="117">
        <f>SUM(tblExpenseCategory_05[may])</f>
        <v>0</v>
      </c>
      <c r="G48" s="117">
        <f>SUM(tblExpenseCategory_05[jun])</f>
        <v>0</v>
      </c>
      <c r="H48" s="117">
        <f>SUM(tblExpenseCategory_05[jul])</f>
        <v>0</v>
      </c>
      <c r="I48" s="117">
        <f>SUM(tblExpenseCategory_05[aug])</f>
        <v>0</v>
      </c>
      <c r="J48" s="117">
        <f>SUM(tblExpenseCategory_05[sep])</f>
        <v>0</v>
      </c>
      <c r="K48" s="117">
        <f>SUM(tblExpenseCategory_05[oct])</f>
        <v>0</v>
      </c>
      <c r="L48" s="117">
        <f>SUM(tblExpenseCategory_05[nov])</f>
        <v>0</v>
      </c>
      <c r="M48" s="117">
        <f>SUM(tblExpenseCategory_05[dec])</f>
        <v>0</v>
      </c>
      <c r="N48" s="118">
        <f>SUM(tblExpenseCategory_05[year])</f>
        <v>50</v>
      </c>
      <c r="O48" s="118">
        <f t="shared" ref="O48" ca="1" si="10">SUM(B48:M48)/MONTH(NOW())</f>
        <v>16.666666666666668</v>
      </c>
    </row>
    <row r="49" spans="1:15" ht="16.5" customHeight="1" x14ac:dyDescent="0.25">
      <c r="A49" s="133"/>
      <c r="B49" s="133"/>
      <c r="C49" s="133"/>
      <c r="D49" s="133"/>
      <c r="E49" s="133"/>
      <c r="F49" s="133"/>
      <c r="G49" s="133"/>
      <c r="H49" s="133"/>
      <c r="I49" s="133"/>
      <c r="J49" s="133"/>
      <c r="K49" s="133"/>
      <c r="L49" s="133"/>
      <c r="M49" s="133"/>
      <c r="N49" s="63"/>
      <c r="O49" s="63"/>
    </row>
    <row r="50" spans="1:15" ht="16.5" customHeight="1" thickBot="1" x14ac:dyDescent="0.3">
      <c r="A50" s="58"/>
      <c r="B50" s="64"/>
      <c r="C50" s="64"/>
      <c r="D50" s="64"/>
      <c r="E50" s="64"/>
      <c r="F50" s="64"/>
      <c r="G50" s="64"/>
      <c r="H50" s="64"/>
      <c r="I50" s="64"/>
      <c r="J50" s="64"/>
      <c r="K50" s="64"/>
      <c r="L50" s="64"/>
      <c r="M50" s="64"/>
      <c r="N50" s="63"/>
      <c r="O50" s="63"/>
    </row>
    <row r="51" spans="1:15" ht="16.5" customHeight="1" thickTop="1" x14ac:dyDescent="0.25">
      <c r="A51" s="77" t="s">
        <v>21</v>
      </c>
      <c r="B51" s="65"/>
      <c r="C51" s="65"/>
      <c r="D51" s="65"/>
      <c r="E51" s="65"/>
      <c r="F51" s="65"/>
      <c r="G51" s="65"/>
      <c r="H51" s="65"/>
      <c r="I51" s="65"/>
      <c r="J51" s="65"/>
      <c r="K51" s="65"/>
      <c r="L51" s="65"/>
      <c r="M51" s="65"/>
      <c r="N51" s="66"/>
      <c r="O51" s="66"/>
    </row>
    <row r="52" spans="1:15" ht="16.5" customHeight="1" x14ac:dyDescent="0.25">
      <c r="A52" s="57" t="s">
        <v>110</v>
      </c>
      <c r="B52" s="71">
        <f>SUMIFS(RegisterChk[Withdrawal (-)],RegisterChk[Transaction Month],"=" &amp;B$2,RegisterChk[Transaction Year],"="&amp;$C$1,RegisterChk[Category],"=" &amp;$A51)</f>
        <v>296</v>
      </c>
      <c r="C52" s="71">
        <f>SUMIFS(RegisterChk[Withdrawal (-)],RegisterChk[Transaction Month],"=" &amp;C$2,RegisterChk[Transaction Year],"="&amp;$C$1,RegisterChk[Category],"=" &amp;$A51)</f>
        <v>0</v>
      </c>
      <c r="D52" s="71">
        <f>SUMIFS(RegisterChk[Withdrawal (-)],RegisterChk[Transaction Month],"=" &amp;D$2,RegisterChk[Transaction Year],"="&amp;$C$1,RegisterChk[Category],"=" &amp;$A51)</f>
        <v>0</v>
      </c>
      <c r="E52" s="71">
        <f>SUMIFS(RegisterChk[Withdrawal (-)],RegisterChk[Transaction Month],"=" &amp;E$2,RegisterChk[Transaction Year],"="&amp;$C$1,RegisterChk[Category],"=" &amp;$A51)</f>
        <v>0</v>
      </c>
      <c r="F52" s="71">
        <f>SUMIFS(RegisterChk[Withdrawal (-)],RegisterChk[Transaction Month],"=" &amp;F$2,RegisterChk[Transaction Year],"="&amp;$C$1,RegisterChk[Category],"=" &amp;$A51)</f>
        <v>0</v>
      </c>
      <c r="G52" s="71">
        <f>SUMIFS(RegisterChk[Withdrawal (-)],RegisterChk[Transaction Month],"=" &amp;G$2,RegisterChk[Transaction Year],"="&amp;$C$1,RegisterChk[Category],"=" &amp;$A51)</f>
        <v>0</v>
      </c>
      <c r="H52" s="71">
        <f>SUMIFS(RegisterChk[Withdrawal (-)],RegisterChk[Transaction Month],"=" &amp;H$2,RegisterChk[Transaction Year],"="&amp;$C$1,RegisterChk[Category],"=" &amp;$A51)</f>
        <v>0</v>
      </c>
      <c r="I52" s="71">
        <f>SUMIFS(RegisterChk[Withdrawal (-)],RegisterChk[Transaction Month],"=" &amp;I$2,RegisterChk[Transaction Year],"="&amp;$C$1,RegisterChk[Category],"=" &amp;$A51)</f>
        <v>0</v>
      </c>
      <c r="J52" s="71">
        <f>SUMIFS(RegisterChk[Withdrawal (-)],RegisterChk[Transaction Month],"=" &amp;J$2,RegisterChk[Transaction Year],"="&amp;$C$1,RegisterChk[Category],"=" &amp;$A51)</f>
        <v>0</v>
      </c>
      <c r="K52" s="71">
        <f>SUMIFS(RegisterChk[Withdrawal (-)],RegisterChk[Transaction Month],"=" &amp;K$2,RegisterChk[Transaction Year],"="&amp;$C$1,RegisterChk[Category],"=" &amp;$A51)</f>
        <v>0</v>
      </c>
      <c r="L52" s="71">
        <f>SUMIFS(RegisterChk[Withdrawal (-)],RegisterChk[Transaction Month],"=" &amp;L$2,RegisterChk[Transaction Year],"="&amp;$C$1,RegisterChk[Category],"=" &amp;$A51)</f>
        <v>0</v>
      </c>
      <c r="M52" s="71">
        <f>SUMIFS(RegisterChk[Withdrawal (-)],RegisterChk[Transaction Month],"=" &amp;M$2,RegisterChk[Transaction Year],"="&amp;$C$1,RegisterChk[Category],"=" &amp;$A51)</f>
        <v>0</v>
      </c>
      <c r="N52" s="72">
        <f>SUM(tblExpenseCategory_06[[#This Row],[jan]:[dec]])</f>
        <v>296</v>
      </c>
      <c r="O52" s="72">
        <f t="shared" ref="O52:O54" ca="1" si="11">SUM(B52:M52)/MONTH(NOW())</f>
        <v>98.666666666666671</v>
      </c>
    </row>
    <row r="53" spans="1:15" ht="16.5" customHeight="1" x14ac:dyDescent="0.25">
      <c r="A53" s="57" t="s">
        <v>111</v>
      </c>
      <c r="B53" s="71">
        <f>SUMIFS(RegisterChk[Withdrawal (-)],RegisterChk[Transaction Month],"=" &amp;B$2,RegisterChk[Transaction Year],"="&amp;$C$1,RegisterChk[Category],"=" &amp;$A52)</f>
        <v>0</v>
      </c>
      <c r="C53" s="71">
        <f>SUMIFS(RegisterChk[Withdrawal (-)],RegisterChk[Transaction Month],"=" &amp;C$2,RegisterChk[Transaction Year],"="&amp;$C$1,RegisterChk[Category],"=" &amp;$A52)</f>
        <v>0</v>
      </c>
      <c r="D53" s="71">
        <f>SUMIFS(RegisterChk[Withdrawal (-)],RegisterChk[Transaction Month],"=" &amp;D$2,RegisterChk[Transaction Year],"="&amp;$C$1,RegisterChk[Category],"=" &amp;$A52)</f>
        <v>0</v>
      </c>
      <c r="E53" s="71">
        <f>SUMIFS(RegisterChk[Withdrawal (-)],RegisterChk[Transaction Month],"=" &amp;E$2,RegisterChk[Transaction Year],"="&amp;$C$1,RegisterChk[Category],"=" &amp;$A52)</f>
        <v>0</v>
      </c>
      <c r="F53" s="71">
        <f>SUMIFS(RegisterChk[Withdrawal (-)],RegisterChk[Transaction Month],"=" &amp;F$2,RegisterChk[Transaction Year],"="&amp;$C$1,RegisterChk[Category],"=" &amp;$A52)</f>
        <v>0</v>
      </c>
      <c r="G53" s="71">
        <f>SUMIFS(RegisterChk[Withdrawal (-)],RegisterChk[Transaction Month],"=" &amp;G$2,RegisterChk[Transaction Year],"="&amp;$C$1,RegisterChk[Category],"=" &amp;$A52)</f>
        <v>0</v>
      </c>
      <c r="H53" s="71">
        <f>SUMIFS(RegisterChk[Withdrawal (-)],RegisterChk[Transaction Month],"=" &amp;H$2,RegisterChk[Transaction Year],"="&amp;$C$1,RegisterChk[Category],"=" &amp;$A52)</f>
        <v>0</v>
      </c>
      <c r="I53" s="71">
        <f>SUMIFS(RegisterChk[Withdrawal (-)],RegisterChk[Transaction Month],"=" &amp;I$2,RegisterChk[Transaction Year],"="&amp;$C$1,RegisterChk[Category],"=" &amp;$A52)</f>
        <v>0</v>
      </c>
      <c r="J53" s="71">
        <f>SUMIFS(RegisterChk[Withdrawal (-)],RegisterChk[Transaction Month],"=" &amp;J$2,RegisterChk[Transaction Year],"="&amp;$C$1,RegisterChk[Category],"=" &amp;$A52)</f>
        <v>0</v>
      </c>
      <c r="K53" s="71">
        <f>SUMIFS(RegisterChk[Withdrawal (-)],RegisterChk[Transaction Month],"=" &amp;K$2,RegisterChk[Transaction Year],"="&amp;$C$1,RegisterChk[Category],"=" &amp;$A52)</f>
        <v>0</v>
      </c>
      <c r="L53" s="71">
        <f>SUMIFS(RegisterChk[Withdrawal (-)],RegisterChk[Transaction Month],"=" &amp;L$2,RegisterChk[Transaction Year],"="&amp;$C$1,RegisterChk[Category],"=" &amp;$A52)</f>
        <v>0</v>
      </c>
      <c r="M53" s="71">
        <f>SUMIFS(RegisterChk[Withdrawal (-)],RegisterChk[Transaction Month],"=" &amp;M$2,RegisterChk[Transaction Year],"="&amp;$C$1,RegisterChk[Category],"=" &amp;$A52)</f>
        <v>0</v>
      </c>
      <c r="N53" s="72">
        <f>SUM(tblExpenseCategory_06[[#This Row],[jan]:[dec]])</f>
        <v>0</v>
      </c>
      <c r="O53" s="72">
        <f t="shared" ca="1" si="11"/>
        <v>0</v>
      </c>
    </row>
    <row r="54" spans="1:15" ht="16.5" customHeight="1" x14ac:dyDescent="0.25">
      <c r="A54" s="57" t="s">
        <v>112</v>
      </c>
      <c r="B54" s="71">
        <f>SUMIFS(RegisterChk[Withdrawal (-)],RegisterChk[Transaction Month],"=" &amp;B$2,RegisterChk[Transaction Year],"="&amp;$C$1,RegisterChk[Category],"=" &amp;$A53)</f>
        <v>0</v>
      </c>
      <c r="C54" s="71">
        <f>SUMIFS(RegisterChk[Withdrawal (-)],RegisterChk[Transaction Month],"=" &amp;C$2,RegisterChk[Transaction Year],"="&amp;$C$1,RegisterChk[Category],"=" &amp;$A53)</f>
        <v>0</v>
      </c>
      <c r="D54" s="71">
        <f>SUMIFS(RegisterChk[Withdrawal (-)],RegisterChk[Transaction Month],"=" &amp;D$2,RegisterChk[Transaction Year],"="&amp;$C$1,RegisterChk[Category],"=" &amp;$A53)</f>
        <v>0</v>
      </c>
      <c r="E54" s="71">
        <f>SUMIFS(RegisterChk[Withdrawal (-)],RegisterChk[Transaction Month],"=" &amp;E$2,RegisterChk[Transaction Year],"="&amp;$C$1,RegisterChk[Category],"=" &amp;$A53)</f>
        <v>0</v>
      </c>
      <c r="F54" s="71">
        <f>SUMIFS(RegisterChk[Withdrawal (-)],RegisterChk[Transaction Month],"=" &amp;F$2,RegisterChk[Transaction Year],"="&amp;$C$1,RegisterChk[Category],"=" &amp;$A53)</f>
        <v>0</v>
      </c>
      <c r="G54" s="71">
        <f>SUMIFS(RegisterChk[Withdrawal (-)],RegisterChk[Transaction Month],"=" &amp;G$2,RegisterChk[Transaction Year],"="&amp;$C$1,RegisterChk[Category],"=" &amp;$A53)</f>
        <v>0</v>
      </c>
      <c r="H54" s="71">
        <f>SUMIFS(RegisterChk[Withdrawal (-)],RegisterChk[Transaction Month],"=" &amp;H$2,RegisterChk[Transaction Year],"="&amp;$C$1,RegisterChk[Category],"=" &amp;$A53)</f>
        <v>0</v>
      </c>
      <c r="I54" s="71">
        <f>SUMIFS(RegisterChk[Withdrawal (-)],RegisterChk[Transaction Month],"=" &amp;I$2,RegisterChk[Transaction Year],"="&amp;$C$1,RegisterChk[Category],"=" &amp;$A53)</f>
        <v>0</v>
      </c>
      <c r="J54" s="71">
        <f>SUMIFS(RegisterChk[Withdrawal (-)],RegisterChk[Transaction Month],"=" &amp;J$2,RegisterChk[Transaction Year],"="&amp;$C$1,RegisterChk[Category],"=" &amp;$A53)</f>
        <v>0</v>
      </c>
      <c r="K54" s="71">
        <f>SUMIFS(RegisterChk[Withdrawal (-)],RegisterChk[Transaction Month],"=" &amp;K$2,RegisterChk[Transaction Year],"="&amp;$C$1,RegisterChk[Category],"=" &amp;$A53)</f>
        <v>0</v>
      </c>
      <c r="L54" s="71">
        <f>SUMIFS(RegisterChk[Withdrawal (-)],RegisterChk[Transaction Month],"=" &amp;L$2,RegisterChk[Transaction Year],"="&amp;$C$1,RegisterChk[Category],"=" &amp;$A53)</f>
        <v>0</v>
      </c>
      <c r="M54" s="71">
        <f>SUMIFS(RegisterChk[Withdrawal (-)],RegisterChk[Transaction Month],"=" &amp;M$2,RegisterChk[Transaction Year],"="&amp;$C$1,RegisterChk[Category],"=" &amp;$A53)</f>
        <v>0</v>
      </c>
      <c r="N54" s="72">
        <f>SUM(tblExpenseCategory_06[[#This Row],[jan]:[dec]])</f>
        <v>0</v>
      </c>
      <c r="O54" s="72">
        <f t="shared" ca="1" si="11"/>
        <v>0</v>
      </c>
    </row>
    <row r="55" spans="1:15" ht="16.5" customHeight="1" x14ac:dyDescent="0.25">
      <c r="A55" s="116" t="str">
        <f>UPPER("Total " &amp; A51)</f>
        <v>TOTAL DEBT</v>
      </c>
      <c r="B55" s="117">
        <f>SUM(tblExpenseCategory_06[jan])</f>
        <v>296</v>
      </c>
      <c r="C55" s="117">
        <f>SUM(tblExpenseCategory_06[feb])</f>
        <v>0</v>
      </c>
      <c r="D55" s="117">
        <f>SUM(tblExpenseCategory_06[mar])</f>
        <v>0</v>
      </c>
      <c r="E55" s="117">
        <f>SUM(tblExpenseCategory_06[apr])</f>
        <v>0</v>
      </c>
      <c r="F55" s="117">
        <f>SUM(tblExpenseCategory_06[may])</f>
        <v>0</v>
      </c>
      <c r="G55" s="117">
        <f>SUM(tblExpenseCategory_06[jun])</f>
        <v>0</v>
      </c>
      <c r="H55" s="117">
        <f>SUM(tblExpenseCategory_06[jul])</f>
        <v>0</v>
      </c>
      <c r="I55" s="117">
        <f>SUM(tblExpenseCategory_06[aug])</f>
        <v>0</v>
      </c>
      <c r="J55" s="117">
        <f>SUM(tblExpenseCategory_06[sep])</f>
        <v>0</v>
      </c>
      <c r="K55" s="117">
        <f>SUM(tblExpenseCategory_06[oct])</f>
        <v>0</v>
      </c>
      <c r="L55" s="117">
        <f>SUM(tblExpenseCategory_06[nov])</f>
        <v>0</v>
      </c>
      <c r="M55" s="117">
        <f>SUM(tblExpenseCategory_06[dec])</f>
        <v>0</v>
      </c>
      <c r="N55" s="118">
        <f>SUM(tblExpenseCategory_06[year])</f>
        <v>296</v>
      </c>
      <c r="O55" s="118">
        <f t="shared" ref="O55" ca="1" si="12">SUM(B55:M55)/MONTH(NOW())</f>
        <v>98.666666666666671</v>
      </c>
    </row>
    <row r="56" spans="1:15" ht="16.5" customHeight="1" x14ac:dyDescent="0.25">
      <c r="A56" s="133"/>
      <c r="B56" s="133"/>
      <c r="C56" s="133"/>
      <c r="D56" s="133"/>
      <c r="E56" s="133"/>
      <c r="F56" s="133"/>
      <c r="G56" s="133"/>
      <c r="H56" s="133"/>
      <c r="I56" s="133"/>
      <c r="J56" s="133"/>
      <c r="K56" s="133"/>
      <c r="L56" s="133"/>
      <c r="M56" s="133"/>
      <c r="N56" s="63"/>
      <c r="O56" s="63"/>
    </row>
    <row r="57" spans="1:15" ht="16.5" customHeight="1" thickBot="1" x14ac:dyDescent="0.3">
      <c r="A57" s="58"/>
      <c r="B57" s="64"/>
      <c r="C57" s="64"/>
      <c r="D57" s="64"/>
      <c r="E57" s="64"/>
      <c r="F57" s="64"/>
      <c r="G57" s="64"/>
      <c r="H57" s="64"/>
      <c r="I57" s="64"/>
      <c r="J57" s="64"/>
      <c r="K57" s="64"/>
      <c r="L57" s="64"/>
      <c r="M57" s="64"/>
      <c r="N57" s="63"/>
      <c r="O57" s="63"/>
    </row>
    <row r="58" spans="1:15" ht="16.5" customHeight="1" thickTop="1" x14ac:dyDescent="0.25">
      <c r="A58" s="77" t="s">
        <v>20</v>
      </c>
      <c r="B58" s="65"/>
      <c r="C58" s="65"/>
      <c r="D58" s="65"/>
      <c r="E58" s="65"/>
      <c r="F58" s="65"/>
      <c r="G58" s="65"/>
      <c r="H58" s="65"/>
      <c r="I58" s="65"/>
      <c r="J58" s="65"/>
      <c r="K58" s="65"/>
      <c r="L58" s="65"/>
      <c r="M58" s="65"/>
      <c r="N58" s="66"/>
      <c r="O58" s="66"/>
    </row>
    <row r="59" spans="1:15" ht="16.5" customHeight="1" x14ac:dyDescent="0.25">
      <c r="A59" s="57" t="s">
        <v>110</v>
      </c>
      <c r="B59" s="71">
        <f>SUMIFS(RegisterChk[Withdrawal (-)],RegisterChk[Transaction Month],"=" &amp;B$2,RegisterChk[Transaction Year],"="&amp;$C$1,RegisterChk[Category],"=" &amp;$A58)</f>
        <v>0</v>
      </c>
      <c r="C59" s="71">
        <f>SUMIFS(RegisterChk[Withdrawal (-)],RegisterChk[Transaction Month],"=" &amp;C$2,RegisterChk[Transaction Year],"="&amp;$C$1,RegisterChk[Category],"=" &amp;$A58)</f>
        <v>0</v>
      </c>
      <c r="D59" s="71">
        <f>SUMIFS(RegisterChk[Withdrawal (-)],RegisterChk[Transaction Month],"=" &amp;D$2,RegisterChk[Transaction Year],"="&amp;$C$1,RegisterChk[Category],"=" &amp;$A58)</f>
        <v>0</v>
      </c>
      <c r="E59" s="71">
        <f>SUMIFS(RegisterChk[Withdrawal (-)],RegisterChk[Transaction Month],"=" &amp;E$2,RegisterChk[Transaction Year],"="&amp;$C$1,RegisterChk[Category],"=" &amp;$A58)</f>
        <v>0</v>
      </c>
      <c r="F59" s="71">
        <f>SUMIFS(RegisterChk[Withdrawal (-)],RegisterChk[Transaction Month],"=" &amp;F$2,RegisterChk[Transaction Year],"="&amp;$C$1,RegisterChk[Category],"=" &amp;$A58)</f>
        <v>0</v>
      </c>
      <c r="G59" s="71">
        <f>SUMIFS(RegisterChk[Withdrawal (-)],RegisterChk[Transaction Month],"=" &amp;G$2,RegisterChk[Transaction Year],"="&amp;$C$1,RegisterChk[Category],"=" &amp;$A58)</f>
        <v>0</v>
      </c>
      <c r="H59" s="71">
        <f>SUMIFS(RegisterChk[Withdrawal (-)],RegisterChk[Transaction Month],"=" &amp;H$2,RegisterChk[Transaction Year],"="&amp;$C$1,RegisterChk[Category],"=" &amp;$A58)</f>
        <v>0</v>
      </c>
      <c r="I59" s="71">
        <f>SUMIFS(RegisterChk[Withdrawal (-)],RegisterChk[Transaction Month],"=" &amp;I$2,RegisterChk[Transaction Year],"="&amp;$C$1,RegisterChk[Category],"=" &amp;$A58)</f>
        <v>0</v>
      </c>
      <c r="J59" s="71">
        <f>SUMIFS(RegisterChk[Withdrawal (-)],RegisterChk[Transaction Month],"=" &amp;J$2,RegisterChk[Transaction Year],"="&amp;$C$1,RegisterChk[Category],"=" &amp;$A58)</f>
        <v>0</v>
      </c>
      <c r="K59" s="71">
        <f>SUMIFS(RegisterChk[Withdrawal (-)],RegisterChk[Transaction Month],"=" &amp;K$2,RegisterChk[Transaction Year],"="&amp;$C$1,RegisterChk[Category],"=" &amp;$A58)</f>
        <v>0</v>
      </c>
      <c r="L59" s="71">
        <f>SUMIFS(RegisterChk[Withdrawal (-)],RegisterChk[Transaction Month],"=" &amp;L$2,RegisterChk[Transaction Year],"="&amp;$C$1,RegisterChk[Category],"=" &amp;$A58)</f>
        <v>0</v>
      </c>
      <c r="M59" s="71">
        <f>SUMIFS(RegisterChk[Withdrawal (-)],RegisterChk[Transaction Month],"=" &amp;M$2,RegisterChk[Transaction Year],"="&amp;$C$1,RegisterChk[Category],"=" &amp;$A58)</f>
        <v>0</v>
      </c>
      <c r="N59" s="72">
        <f>SUM(tblExpenseCategory_07[[#This Row],[jan]:[dec]])</f>
        <v>0</v>
      </c>
      <c r="O59" s="72">
        <f t="shared" ref="O59:O61" ca="1" si="13">SUM(B59:M59)/MONTH(NOW())</f>
        <v>0</v>
      </c>
    </row>
    <row r="60" spans="1:15" ht="16.5" customHeight="1" x14ac:dyDescent="0.25">
      <c r="A60" s="57" t="s">
        <v>111</v>
      </c>
      <c r="B60" s="71">
        <f>SUMIFS(RegisterChk[Withdrawal (-)],RegisterChk[Transaction Month],"=" &amp;B$2,RegisterChk[Transaction Year],"="&amp;$C$1,RegisterChk[Category],"=" &amp;$A59)</f>
        <v>0</v>
      </c>
      <c r="C60" s="71">
        <f>SUMIFS(RegisterChk[Withdrawal (-)],RegisterChk[Transaction Month],"=" &amp;C$2,RegisterChk[Transaction Year],"="&amp;$C$1,RegisterChk[Category],"=" &amp;$A59)</f>
        <v>0</v>
      </c>
      <c r="D60" s="71">
        <f>SUMIFS(RegisterChk[Withdrawal (-)],RegisterChk[Transaction Month],"=" &amp;D$2,RegisterChk[Transaction Year],"="&amp;$C$1,RegisterChk[Category],"=" &amp;$A59)</f>
        <v>0</v>
      </c>
      <c r="E60" s="71">
        <f>SUMIFS(RegisterChk[Withdrawal (-)],RegisterChk[Transaction Month],"=" &amp;E$2,RegisterChk[Transaction Year],"="&amp;$C$1,RegisterChk[Category],"=" &amp;$A59)</f>
        <v>0</v>
      </c>
      <c r="F60" s="71">
        <f>SUMIFS(RegisterChk[Withdrawal (-)],RegisterChk[Transaction Month],"=" &amp;F$2,RegisterChk[Transaction Year],"="&amp;$C$1,RegisterChk[Category],"=" &amp;$A59)</f>
        <v>0</v>
      </c>
      <c r="G60" s="71">
        <f>SUMIFS(RegisterChk[Withdrawal (-)],RegisterChk[Transaction Month],"=" &amp;G$2,RegisterChk[Transaction Year],"="&amp;$C$1,RegisterChk[Category],"=" &amp;$A59)</f>
        <v>0</v>
      </c>
      <c r="H60" s="71">
        <f>SUMIFS(RegisterChk[Withdrawal (-)],RegisterChk[Transaction Month],"=" &amp;H$2,RegisterChk[Transaction Year],"="&amp;$C$1,RegisterChk[Category],"=" &amp;$A59)</f>
        <v>0</v>
      </c>
      <c r="I60" s="71">
        <f>SUMIFS(RegisterChk[Withdrawal (-)],RegisterChk[Transaction Month],"=" &amp;I$2,RegisterChk[Transaction Year],"="&amp;$C$1,RegisterChk[Category],"=" &amp;$A59)</f>
        <v>0</v>
      </c>
      <c r="J60" s="71">
        <f>SUMIFS(RegisterChk[Withdrawal (-)],RegisterChk[Transaction Month],"=" &amp;J$2,RegisterChk[Transaction Year],"="&amp;$C$1,RegisterChk[Category],"=" &amp;$A59)</f>
        <v>0</v>
      </c>
      <c r="K60" s="71">
        <f>SUMIFS(RegisterChk[Withdrawal (-)],RegisterChk[Transaction Month],"=" &amp;K$2,RegisterChk[Transaction Year],"="&amp;$C$1,RegisterChk[Category],"=" &amp;$A59)</f>
        <v>0</v>
      </c>
      <c r="L60" s="71">
        <f>SUMIFS(RegisterChk[Withdrawal (-)],RegisterChk[Transaction Month],"=" &amp;L$2,RegisterChk[Transaction Year],"="&amp;$C$1,RegisterChk[Category],"=" &amp;$A59)</f>
        <v>0</v>
      </c>
      <c r="M60" s="71">
        <f>SUMIFS(RegisterChk[Withdrawal (-)],RegisterChk[Transaction Month],"=" &amp;M$2,RegisterChk[Transaction Year],"="&amp;$C$1,RegisterChk[Category],"=" &amp;$A59)</f>
        <v>0</v>
      </c>
      <c r="N60" s="72">
        <f>SUM(tblExpenseCategory_07[[#This Row],[jan]:[dec]])</f>
        <v>0</v>
      </c>
      <c r="O60" s="72">
        <f t="shared" ca="1" si="13"/>
        <v>0</v>
      </c>
    </row>
    <row r="61" spans="1:15" ht="16.5" customHeight="1" x14ac:dyDescent="0.25">
      <c r="A61" s="57" t="s">
        <v>112</v>
      </c>
      <c r="B61" s="71">
        <f>SUMIFS(RegisterChk[Withdrawal (-)],RegisterChk[Transaction Month],"=" &amp;B$2,RegisterChk[Transaction Year],"="&amp;$C$1,RegisterChk[Category],"=" &amp;$A60)</f>
        <v>0</v>
      </c>
      <c r="C61" s="71">
        <f>SUMIFS(RegisterChk[Withdrawal (-)],RegisterChk[Transaction Month],"=" &amp;C$2,RegisterChk[Transaction Year],"="&amp;$C$1,RegisterChk[Category],"=" &amp;$A60)</f>
        <v>0</v>
      </c>
      <c r="D61" s="71">
        <f>SUMIFS(RegisterChk[Withdrawal (-)],RegisterChk[Transaction Month],"=" &amp;D$2,RegisterChk[Transaction Year],"="&amp;$C$1,RegisterChk[Category],"=" &amp;$A60)</f>
        <v>0</v>
      </c>
      <c r="E61" s="71">
        <f>SUMIFS(RegisterChk[Withdrawal (-)],RegisterChk[Transaction Month],"=" &amp;E$2,RegisterChk[Transaction Year],"="&amp;$C$1,RegisterChk[Category],"=" &amp;$A60)</f>
        <v>0</v>
      </c>
      <c r="F61" s="71">
        <f>SUMIFS(RegisterChk[Withdrawal (-)],RegisterChk[Transaction Month],"=" &amp;F$2,RegisterChk[Transaction Year],"="&amp;$C$1,RegisterChk[Category],"=" &amp;$A60)</f>
        <v>0</v>
      </c>
      <c r="G61" s="71">
        <f>SUMIFS(RegisterChk[Withdrawal (-)],RegisterChk[Transaction Month],"=" &amp;G$2,RegisterChk[Transaction Year],"="&amp;$C$1,RegisterChk[Category],"=" &amp;$A60)</f>
        <v>0</v>
      </c>
      <c r="H61" s="71">
        <f>SUMIFS(RegisterChk[Withdrawal (-)],RegisterChk[Transaction Month],"=" &amp;H$2,RegisterChk[Transaction Year],"="&amp;$C$1,RegisterChk[Category],"=" &amp;$A60)</f>
        <v>0</v>
      </c>
      <c r="I61" s="71">
        <f>SUMIFS(RegisterChk[Withdrawal (-)],RegisterChk[Transaction Month],"=" &amp;I$2,RegisterChk[Transaction Year],"="&amp;$C$1,RegisterChk[Category],"=" &amp;$A60)</f>
        <v>0</v>
      </c>
      <c r="J61" s="71">
        <f>SUMIFS(RegisterChk[Withdrawal (-)],RegisterChk[Transaction Month],"=" &amp;J$2,RegisterChk[Transaction Year],"="&amp;$C$1,RegisterChk[Category],"=" &amp;$A60)</f>
        <v>0</v>
      </c>
      <c r="K61" s="71">
        <f>SUMIFS(RegisterChk[Withdrawal (-)],RegisterChk[Transaction Month],"=" &amp;K$2,RegisterChk[Transaction Year],"="&amp;$C$1,RegisterChk[Category],"=" &amp;$A60)</f>
        <v>0</v>
      </c>
      <c r="L61" s="71">
        <f>SUMIFS(RegisterChk[Withdrawal (-)],RegisterChk[Transaction Month],"=" &amp;L$2,RegisterChk[Transaction Year],"="&amp;$C$1,RegisterChk[Category],"=" &amp;$A60)</f>
        <v>0</v>
      </c>
      <c r="M61" s="71">
        <f>SUMIFS(RegisterChk[Withdrawal (-)],RegisterChk[Transaction Month],"=" &amp;M$2,RegisterChk[Transaction Year],"="&amp;$C$1,RegisterChk[Category],"=" &amp;$A60)</f>
        <v>0</v>
      </c>
      <c r="N61" s="72">
        <f>SUM(tblExpenseCategory_07[[#This Row],[jan]:[dec]])</f>
        <v>0</v>
      </c>
      <c r="O61" s="72">
        <f t="shared" ca="1" si="13"/>
        <v>0</v>
      </c>
    </row>
    <row r="62" spans="1:15" ht="16.5" customHeight="1" x14ac:dyDescent="0.25">
      <c r="A62" s="116" t="str">
        <f>UPPER("Total " &amp; A58)</f>
        <v>TOTAL CHARITY/TITHE</v>
      </c>
      <c r="B62" s="117">
        <f>SUM(tblExpenseCategory_07[jan])</f>
        <v>0</v>
      </c>
      <c r="C62" s="117">
        <f>SUM(tblExpenseCategory_07[feb])</f>
        <v>0</v>
      </c>
      <c r="D62" s="117">
        <f>SUM(tblExpenseCategory_07[mar])</f>
        <v>0</v>
      </c>
      <c r="E62" s="117">
        <f>SUM(tblExpenseCategory_07[apr])</f>
        <v>0</v>
      </c>
      <c r="F62" s="117">
        <f>SUM(tblExpenseCategory_07[may])</f>
        <v>0</v>
      </c>
      <c r="G62" s="117">
        <f>SUM(tblExpenseCategory_07[jun])</f>
        <v>0</v>
      </c>
      <c r="H62" s="117">
        <f>SUM(tblExpenseCategory_07[jul])</f>
        <v>0</v>
      </c>
      <c r="I62" s="117">
        <f>SUM(tblExpenseCategory_07[aug])</f>
        <v>0</v>
      </c>
      <c r="J62" s="117">
        <f>SUM(tblExpenseCategory_07[sep])</f>
        <v>0</v>
      </c>
      <c r="K62" s="117">
        <f>SUM(tblExpenseCategory_07[oct])</f>
        <v>0</v>
      </c>
      <c r="L62" s="117">
        <f>SUM(tblExpenseCategory_07[nov])</f>
        <v>0</v>
      </c>
      <c r="M62" s="117">
        <f>SUM(tblExpenseCategory_07[dec])</f>
        <v>0</v>
      </c>
      <c r="N62" s="118">
        <f>SUM(tblExpenseCategory_07[year])</f>
        <v>0</v>
      </c>
      <c r="O62" s="118">
        <f t="shared" ref="O62" ca="1" si="14">SUM(B62:M62)/MONTH(NOW())</f>
        <v>0</v>
      </c>
    </row>
    <row r="63" spans="1:15" ht="16.5" customHeight="1" x14ac:dyDescent="0.25">
      <c r="A63" s="133"/>
      <c r="B63" s="133"/>
      <c r="C63" s="133"/>
      <c r="D63" s="133"/>
      <c r="E63" s="133"/>
      <c r="F63" s="133"/>
      <c r="G63" s="133"/>
      <c r="H63" s="133"/>
      <c r="I63" s="133"/>
      <c r="J63" s="133"/>
      <c r="K63" s="133"/>
      <c r="L63" s="133"/>
      <c r="M63" s="133"/>
      <c r="N63" s="63"/>
      <c r="O63" s="63"/>
    </row>
    <row r="64" spans="1:15" ht="16.5" customHeight="1" thickBot="1" x14ac:dyDescent="0.3">
      <c r="A64" s="58"/>
      <c r="B64" s="64"/>
      <c r="C64" s="64"/>
      <c r="D64" s="64"/>
      <c r="E64" s="64"/>
      <c r="F64" s="64"/>
      <c r="G64" s="64"/>
      <c r="H64" s="64"/>
      <c r="I64" s="64"/>
      <c r="J64" s="64"/>
      <c r="K64" s="64"/>
      <c r="L64" s="64"/>
      <c r="M64" s="64"/>
      <c r="N64" s="63"/>
      <c r="O64" s="63"/>
    </row>
    <row r="65" spans="1:15" ht="16.5" customHeight="1" thickTop="1" x14ac:dyDescent="0.25">
      <c r="A65" s="77" t="s">
        <v>22</v>
      </c>
      <c r="B65" s="65"/>
      <c r="C65" s="65"/>
      <c r="D65" s="65"/>
      <c r="E65" s="65"/>
      <c r="F65" s="65"/>
      <c r="G65" s="65"/>
      <c r="H65" s="65"/>
      <c r="I65" s="65"/>
      <c r="J65" s="65"/>
      <c r="K65" s="65"/>
      <c r="L65" s="65"/>
      <c r="M65" s="65"/>
      <c r="N65" s="66"/>
      <c r="O65" s="66"/>
    </row>
    <row r="66" spans="1:15" ht="16.5" customHeight="1" x14ac:dyDescent="0.25">
      <c r="A66" s="57" t="s">
        <v>110</v>
      </c>
      <c r="B66" s="71">
        <f>SUMIFS(RegisterChk[Withdrawal (-)],RegisterChk[Transaction Month],"=" &amp;B$2,RegisterChk[Transaction Year],"="&amp;$C$1,RegisterChk[Category],"=" &amp;$A65)</f>
        <v>0</v>
      </c>
      <c r="C66" s="71">
        <f>SUMIFS(RegisterChk[Withdrawal (-)],RegisterChk[Transaction Month],"=" &amp;C$2,RegisterChk[Transaction Year],"="&amp;$C$1,RegisterChk[Category],"=" &amp;$A65)</f>
        <v>0</v>
      </c>
      <c r="D66" s="71">
        <f>SUMIFS(RegisterChk[Withdrawal (-)],RegisterChk[Transaction Month],"=" &amp;D$2,RegisterChk[Transaction Year],"="&amp;$C$1,RegisterChk[Category],"=" &amp;$A65)</f>
        <v>0</v>
      </c>
      <c r="E66" s="71">
        <f>SUMIFS(RegisterChk[Withdrawal (-)],RegisterChk[Transaction Month],"=" &amp;E$2,RegisterChk[Transaction Year],"="&amp;$C$1,RegisterChk[Category],"=" &amp;$A65)</f>
        <v>0</v>
      </c>
      <c r="F66" s="71">
        <f>SUMIFS(RegisterChk[Withdrawal (-)],RegisterChk[Transaction Month],"=" &amp;F$2,RegisterChk[Transaction Year],"="&amp;$C$1,RegisterChk[Category],"=" &amp;$A65)</f>
        <v>0</v>
      </c>
      <c r="G66" s="71">
        <f>SUMIFS(RegisterChk[Withdrawal (-)],RegisterChk[Transaction Month],"=" &amp;G$2,RegisterChk[Transaction Year],"="&amp;$C$1,RegisterChk[Category],"=" &amp;$A65)</f>
        <v>0</v>
      </c>
      <c r="H66" s="71">
        <f>SUMIFS(RegisterChk[Withdrawal (-)],RegisterChk[Transaction Month],"=" &amp;H$2,RegisterChk[Transaction Year],"="&amp;$C$1,RegisterChk[Category],"=" &amp;$A65)</f>
        <v>0</v>
      </c>
      <c r="I66" s="71">
        <f>SUMIFS(RegisterChk[Withdrawal (-)],RegisterChk[Transaction Month],"=" &amp;I$2,RegisterChk[Transaction Year],"="&amp;$C$1,RegisterChk[Category],"=" &amp;$A65)</f>
        <v>0</v>
      </c>
      <c r="J66" s="71">
        <f>SUMIFS(RegisterChk[Withdrawal (-)],RegisterChk[Transaction Month],"=" &amp;J$2,RegisterChk[Transaction Year],"="&amp;$C$1,RegisterChk[Category],"=" &amp;$A65)</f>
        <v>0</v>
      </c>
      <c r="K66" s="71">
        <f>SUMIFS(RegisterChk[Withdrawal (-)],RegisterChk[Transaction Month],"=" &amp;K$2,RegisterChk[Transaction Year],"="&amp;$C$1,RegisterChk[Category],"=" &amp;$A65)</f>
        <v>0</v>
      </c>
      <c r="L66" s="71">
        <f>SUMIFS(RegisterChk[Withdrawal (-)],RegisterChk[Transaction Month],"=" &amp;L$2,RegisterChk[Transaction Year],"="&amp;$C$1,RegisterChk[Category],"=" &amp;$A65)</f>
        <v>0</v>
      </c>
      <c r="M66" s="71">
        <f>SUMIFS(RegisterChk[Withdrawal (-)],RegisterChk[Transaction Month],"=" &amp;M$2,RegisterChk[Transaction Year],"="&amp;$C$1,RegisterChk[Category],"=" &amp;$A65)</f>
        <v>0</v>
      </c>
      <c r="N66" s="72">
        <f>SUM(tblExpenseCategory_08[[#This Row],[jan]:[dec]])</f>
        <v>0</v>
      </c>
      <c r="O66" s="72">
        <f t="shared" ref="O66:O68" ca="1" si="15">SUM(B66:M66)/MONTH(NOW())</f>
        <v>0</v>
      </c>
    </row>
    <row r="67" spans="1:15" ht="16.5" customHeight="1" x14ac:dyDescent="0.25">
      <c r="A67" s="57" t="s">
        <v>111</v>
      </c>
      <c r="B67" s="71">
        <f>SUMIFS(RegisterChk[Withdrawal (-)],RegisterChk[Transaction Month],"=" &amp;B$2,RegisterChk[Transaction Year],"="&amp;$C$1,RegisterChk[Category],"=" &amp;$A66)</f>
        <v>0</v>
      </c>
      <c r="C67" s="71">
        <f>SUMIFS(RegisterChk[Withdrawal (-)],RegisterChk[Transaction Month],"=" &amp;C$2,RegisterChk[Transaction Year],"="&amp;$C$1,RegisterChk[Category],"=" &amp;$A66)</f>
        <v>0</v>
      </c>
      <c r="D67" s="71">
        <f>SUMIFS(RegisterChk[Withdrawal (-)],RegisterChk[Transaction Month],"=" &amp;D$2,RegisterChk[Transaction Year],"="&amp;$C$1,RegisterChk[Category],"=" &amp;$A66)</f>
        <v>0</v>
      </c>
      <c r="E67" s="71">
        <f>SUMIFS(RegisterChk[Withdrawal (-)],RegisterChk[Transaction Month],"=" &amp;E$2,RegisterChk[Transaction Year],"="&amp;$C$1,RegisterChk[Category],"=" &amp;$A66)</f>
        <v>0</v>
      </c>
      <c r="F67" s="71">
        <f>SUMIFS(RegisterChk[Withdrawal (-)],RegisterChk[Transaction Month],"=" &amp;F$2,RegisterChk[Transaction Year],"="&amp;$C$1,RegisterChk[Category],"=" &amp;$A66)</f>
        <v>0</v>
      </c>
      <c r="G67" s="71">
        <f>SUMIFS(RegisterChk[Withdrawal (-)],RegisterChk[Transaction Month],"=" &amp;G$2,RegisterChk[Transaction Year],"="&amp;$C$1,RegisterChk[Category],"=" &amp;$A66)</f>
        <v>0</v>
      </c>
      <c r="H67" s="71">
        <f>SUMIFS(RegisterChk[Withdrawal (-)],RegisterChk[Transaction Month],"=" &amp;H$2,RegisterChk[Transaction Year],"="&amp;$C$1,RegisterChk[Category],"=" &amp;$A66)</f>
        <v>0</v>
      </c>
      <c r="I67" s="71">
        <f>SUMIFS(RegisterChk[Withdrawal (-)],RegisterChk[Transaction Month],"=" &amp;I$2,RegisterChk[Transaction Year],"="&amp;$C$1,RegisterChk[Category],"=" &amp;$A66)</f>
        <v>0</v>
      </c>
      <c r="J67" s="71">
        <f>SUMIFS(RegisterChk[Withdrawal (-)],RegisterChk[Transaction Month],"=" &amp;J$2,RegisterChk[Transaction Year],"="&amp;$C$1,RegisterChk[Category],"=" &amp;$A66)</f>
        <v>0</v>
      </c>
      <c r="K67" s="71">
        <f>SUMIFS(RegisterChk[Withdrawal (-)],RegisterChk[Transaction Month],"=" &amp;K$2,RegisterChk[Transaction Year],"="&amp;$C$1,RegisterChk[Category],"=" &amp;$A66)</f>
        <v>0</v>
      </c>
      <c r="L67" s="71">
        <f>SUMIFS(RegisterChk[Withdrawal (-)],RegisterChk[Transaction Month],"=" &amp;L$2,RegisterChk[Transaction Year],"="&amp;$C$1,RegisterChk[Category],"=" &amp;$A66)</f>
        <v>0</v>
      </c>
      <c r="M67" s="71">
        <f>SUMIFS(RegisterChk[Withdrawal (-)],RegisterChk[Transaction Month],"=" &amp;M$2,RegisterChk[Transaction Year],"="&amp;$C$1,RegisterChk[Category],"=" &amp;$A66)</f>
        <v>0</v>
      </c>
      <c r="N67" s="72">
        <f>SUM(tblExpenseCategory_08[[#This Row],[jan]:[dec]])</f>
        <v>0</v>
      </c>
      <c r="O67" s="72">
        <f t="shared" ca="1" si="15"/>
        <v>0</v>
      </c>
    </row>
    <row r="68" spans="1:15" ht="16.5" customHeight="1" x14ac:dyDescent="0.25">
      <c r="A68" s="57" t="s">
        <v>112</v>
      </c>
      <c r="B68" s="71">
        <f>SUMIFS(RegisterChk[Withdrawal (-)],RegisterChk[Transaction Month],"=" &amp;B$2,RegisterChk[Transaction Year],"="&amp;$C$1,RegisterChk[Category],"=" &amp;$A67)</f>
        <v>0</v>
      </c>
      <c r="C68" s="71">
        <f>SUMIFS(RegisterChk[Withdrawal (-)],RegisterChk[Transaction Month],"=" &amp;C$2,RegisterChk[Transaction Year],"="&amp;$C$1,RegisterChk[Category],"=" &amp;$A67)</f>
        <v>0</v>
      </c>
      <c r="D68" s="71">
        <f>SUMIFS(RegisterChk[Withdrawal (-)],RegisterChk[Transaction Month],"=" &amp;D$2,RegisterChk[Transaction Year],"="&amp;$C$1,RegisterChk[Category],"=" &amp;$A67)</f>
        <v>0</v>
      </c>
      <c r="E68" s="71">
        <f>SUMIFS(RegisterChk[Withdrawal (-)],RegisterChk[Transaction Month],"=" &amp;E$2,RegisterChk[Transaction Year],"="&amp;$C$1,RegisterChk[Category],"=" &amp;$A67)</f>
        <v>0</v>
      </c>
      <c r="F68" s="71">
        <f>SUMIFS(RegisterChk[Withdrawal (-)],RegisterChk[Transaction Month],"=" &amp;F$2,RegisterChk[Transaction Year],"="&amp;$C$1,RegisterChk[Category],"=" &amp;$A67)</f>
        <v>0</v>
      </c>
      <c r="G68" s="71">
        <f>SUMIFS(RegisterChk[Withdrawal (-)],RegisterChk[Transaction Month],"=" &amp;G$2,RegisterChk[Transaction Year],"="&amp;$C$1,RegisterChk[Category],"=" &amp;$A67)</f>
        <v>0</v>
      </c>
      <c r="H68" s="71">
        <f>SUMIFS(RegisterChk[Withdrawal (-)],RegisterChk[Transaction Month],"=" &amp;H$2,RegisterChk[Transaction Year],"="&amp;$C$1,RegisterChk[Category],"=" &amp;$A67)</f>
        <v>0</v>
      </c>
      <c r="I68" s="71">
        <f>SUMIFS(RegisterChk[Withdrawal (-)],RegisterChk[Transaction Month],"=" &amp;I$2,RegisterChk[Transaction Year],"="&amp;$C$1,RegisterChk[Category],"=" &amp;$A67)</f>
        <v>0</v>
      </c>
      <c r="J68" s="71">
        <f>SUMIFS(RegisterChk[Withdrawal (-)],RegisterChk[Transaction Month],"=" &amp;J$2,RegisterChk[Transaction Year],"="&amp;$C$1,RegisterChk[Category],"=" &amp;$A67)</f>
        <v>0</v>
      </c>
      <c r="K68" s="71">
        <f>SUMIFS(RegisterChk[Withdrawal (-)],RegisterChk[Transaction Month],"=" &amp;K$2,RegisterChk[Transaction Year],"="&amp;$C$1,RegisterChk[Category],"=" &amp;$A67)</f>
        <v>0</v>
      </c>
      <c r="L68" s="71">
        <f>SUMIFS(RegisterChk[Withdrawal (-)],RegisterChk[Transaction Month],"=" &amp;L$2,RegisterChk[Transaction Year],"="&amp;$C$1,RegisterChk[Category],"=" &amp;$A67)</f>
        <v>0</v>
      </c>
      <c r="M68" s="71">
        <f>SUMIFS(RegisterChk[Withdrawal (-)],RegisterChk[Transaction Month],"=" &amp;M$2,RegisterChk[Transaction Year],"="&amp;$C$1,RegisterChk[Category],"=" &amp;$A67)</f>
        <v>0</v>
      </c>
      <c r="N68" s="72">
        <f>SUM(tblExpenseCategory_08[[#This Row],[jan]:[dec]])</f>
        <v>0</v>
      </c>
      <c r="O68" s="72">
        <f t="shared" ca="1" si="15"/>
        <v>0</v>
      </c>
    </row>
    <row r="69" spans="1:15" ht="16.5" customHeight="1" x14ac:dyDescent="0.25">
      <c r="A69" s="122" t="str">
        <f>UPPER("Total " &amp; A65)</f>
        <v>TOTAL COMPUTER/ELECTRONICS</v>
      </c>
      <c r="B69" s="123">
        <f>SUM(tblExpenseCategory_08[jan])</f>
        <v>0</v>
      </c>
      <c r="C69" s="123">
        <f>SUM(tblExpenseCategory_08[feb])</f>
        <v>0</v>
      </c>
      <c r="D69" s="123">
        <f>SUM(tblExpenseCategory_08[mar])</f>
        <v>0</v>
      </c>
      <c r="E69" s="123">
        <f>SUM(tblExpenseCategory_08[apr])</f>
        <v>0</v>
      </c>
      <c r="F69" s="123">
        <f>SUM(tblExpenseCategory_08[may])</f>
        <v>0</v>
      </c>
      <c r="G69" s="123">
        <f>SUM(tblExpenseCategory_08[jun])</f>
        <v>0</v>
      </c>
      <c r="H69" s="123">
        <f>SUM(tblExpenseCategory_08[jul])</f>
        <v>0</v>
      </c>
      <c r="I69" s="123">
        <f>SUM(tblExpenseCategory_08[aug])</f>
        <v>0</v>
      </c>
      <c r="J69" s="123">
        <f>SUM(tblExpenseCategory_08[sep])</f>
        <v>0</v>
      </c>
      <c r="K69" s="123">
        <f>SUM(tblExpenseCategory_08[oct])</f>
        <v>0</v>
      </c>
      <c r="L69" s="123">
        <f>SUM(tblExpenseCategory_08[nov])</f>
        <v>0</v>
      </c>
      <c r="M69" s="123">
        <f>SUM(tblExpenseCategory_08[dec])</f>
        <v>0</v>
      </c>
      <c r="N69" s="124">
        <f>SUM(tblExpenseCategory_08[year])</f>
        <v>0</v>
      </c>
      <c r="O69" s="124">
        <f t="shared" ref="O69" ca="1" si="16">SUM(B69:M69)/MONTH(NOW())</f>
        <v>0</v>
      </c>
    </row>
    <row r="70" spans="1:15" ht="16.5" customHeight="1" x14ac:dyDescent="0.25">
      <c r="A70" s="133"/>
      <c r="B70" s="133"/>
      <c r="C70" s="133"/>
      <c r="D70" s="133"/>
      <c r="E70" s="133"/>
      <c r="F70" s="133"/>
      <c r="G70" s="133"/>
      <c r="H70" s="133"/>
      <c r="I70" s="133"/>
      <c r="J70" s="133"/>
      <c r="K70" s="133"/>
      <c r="L70" s="133"/>
      <c r="M70" s="133"/>
      <c r="N70" s="63"/>
      <c r="O70" s="63"/>
    </row>
    <row r="71" spans="1:15" ht="16.5" customHeight="1" thickBot="1" x14ac:dyDescent="0.3">
      <c r="A71" s="58"/>
      <c r="B71" s="64"/>
      <c r="C71" s="64"/>
      <c r="D71" s="64"/>
      <c r="E71" s="64"/>
      <c r="F71" s="64"/>
      <c r="G71" s="64"/>
      <c r="H71" s="64"/>
      <c r="I71" s="64"/>
      <c r="J71" s="64"/>
      <c r="K71" s="64"/>
      <c r="L71" s="64"/>
      <c r="M71" s="64"/>
      <c r="N71" s="63"/>
      <c r="O71" s="63"/>
    </row>
    <row r="72" spans="1:15" ht="16.5" customHeight="1" thickTop="1" x14ac:dyDescent="0.25">
      <c r="A72" s="77" t="s">
        <v>25</v>
      </c>
      <c r="B72" s="65"/>
      <c r="C72" s="65"/>
      <c r="D72" s="65"/>
      <c r="E72" s="65"/>
      <c r="F72" s="65"/>
      <c r="G72" s="65"/>
      <c r="H72" s="65"/>
      <c r="I72" s="65"/>
      <c r="J72" s="65"/>
      <c r="K72" s="65"/>
      <c r="L72" s="65"/>
      <c r="M72" s="65"/>
      <c r="N72" s="66"/>
      <c r="O72" s="66"/>
    </row>
    <row r="73" spans="1:15" ht="16.5" customHeight="1" x14ac:dyDescent="0.25">
      <c r="A73" s="57" t="s">
        <v>110</v>
      </c>
      <c r="B73" s="71">
        <f>SUMIFS(RegisterChk[Withdrawal (-)],RegisterChk[Transaction Month],"=" &amp;B$2,RegisterChk[Transaction Year],"="&amp;$C$1,RegisterChk[Category],"=" &amp;$A72)</f>
        <v>0</v>
      </c>
      <c r="C73" s="71">
        <f>SUMIFS(RegisterChk[Withdrawal (-)],RegisterChk[Transaction Month],"=" &amp;C$2,RegisterChk[Transaction Year],"="&amp;$C$1,RegisterChk[Category],"=" &amp;$A72)</f>
        <v>0</v>
      </c>
      <c r="D73" s="71">
        <f>SUMIFS(RegisterChk[Withdrawal (-)],RegisterChk[Transaction Month],"=" &amp;D$2,RegisterChk[Transaction Year],"="&amp;$C$1,RegisterChk[Category],"=" &amp;$A72)</f>
        <v>0</v>
      </c>
      <c r="E73" s="71">
        <f>SUMIFS(RegisterChk[Withdrawal (-)],RegisterChk[Transaction Month],"=" &amp;E$2,RegisterChk[Transaction Year],"="&amp;$C$1,RegisterChk[Category],"=" &amp;$A72)</f>
        <v>0</v>
      </c>
      <c r="F73" s="71">
        <f>SUMIFS(RegisterChk[Withdrawal (-)],RegisterChk[Transaction Month],"=" &amp;F$2,RegisterChk[Transaction Year],"="&amp;$C$1,RegisterChk[Category],"=" &amp;$A72)</f>
        <v>0</v>
      </c>
      <c r="G73" s="71">
        <f>SUMIFS(RegisterChk[Withdrawal (-)],RegisterChk[Transaction Month],"=" &amp;G$2,RegisterChk[Transaction Year],"="&amp;$C$1,RegisterChk[Category],"=" &amp;$A72)</f>
        <v>0</v>
      </c>
      <c r="H73" s="71">
        <f>SUMIFS(RegisterChk[Withdrawal (-)],RegisterChk[Transaction Month],"=" &amp;H$2,RegisterChk[Transaction Year],"="&amp;$C$1,RegisterChk[Category],"=" &amp;$A72)</f>
        <v>0</v>
      </c>
      <c r="I73" s="71">
        <f>SUMIFS(RegisterChk[Withdrawal (-)],RegisterChk[Transaction Month],"=" &amp;I$2,RegisterChk[Transaction Year],"="&amp;$C$1,RegisterChk[Category],"=" &amp;$A72)</f>
        <v>0</v>
      </c>
      <c r="J73" s="71">
        <f>SUMIFS(RegisterChk[Withdrawal (-)],RegisterChk[Transaction Month],"=" &amp;J$2,RegisterChk[Transaction Year],"="&amp;$C$1,RegisterChk[Category],"=" &amp;$A72)</f>
        <v>0</v>
      </c>
      <c r="K73" s="71">
        <f>SUMIFS(RegisterChk[Withdrawal (-)],RegisterChk[Transaction Month],"=" &amp;K$2,RegisterChk[Transaction Year],"="&amp;$C$1,RegisterChk[Category],"=" &amp;$A72)</f>
        <v>0</v>
      </c>
      <c r="L73" s="71">
        <f>SUMIFS(RegisterChk[Withdrawal (-)],RegisterChk[Transaction Month],"=" &amp;L$2,RegisterChk[Transaction Year],"="&amp;$C$1,RegisterChk[Category],"=" &amp;$A72)</f>
        <v>0</v>
      </c>
      <c r="M73" s="71">
        <f>SUMIFS(RegisterChk[Withdrawal (-)],RegisterChk[Transaction Month],"=" &amp;M$2,RegisterChk[Transaction Year],"="&amp;$C$1,RegisterChk[Category],"=" &amp;$A72)</f>
        <v>0</v>
      </c>
      <c r="N73" s="72">
        <f>SUM(tblExpenseCategory_09[[#This Row],[jan]:[dec]])</f>
        <v>0</v>
      </c>
      <c r="O73" s="72">
        <f t="shared" ref="O73:O75" ca="1" si="17">SUM(B73:M73)/MONTH(NOW())</f>
        <v>0</v>
      </c>
    </row>
    <row r="74" spans="1:15" ht="16.5" customHeight="1" x14ac:dyDescent="0.25">
      <c r="A74" s="57" t="s">
        <v>111</v>
      </c>
      <c r="B74" s="71">
        <f>SUMIFS(RegisterChk[Withdrawal (-)],RegisterChk[Transaction Month],"=" &amp;B$2,RegisterChk[Transaction Year],"="&amp;$C$1,RegisterChk[Category],"=" &amp;$A73)</f>
        <v>0</v>
      </c>
      <c r="C74" s="71">
        <f>SUMIFS(RegisterChk[Withdrawal (-)],RegisterChk[Transaction Month],"=" &amp;C$2,RegisterChk[Transaction Year],"="&amp;$C$1,RegisterChk[Category],"=" &amp;$A73)</f>
        <v>0</v>
      </c>
      <c r="D74" s="71">
        <f>SUMIFS(RegisterChk[Withdrawal (-)],RegisterChk[Transaction Month],"=" &amp;D$2,RegisterChk[Transaction Year],"="&amp;$C$1,RegisterChk[Category],"=" &amp;$A73)</f>
        <v>0</v>
      </c>
      <c r="E74" s="71">
        <f>SUMIFS(RegisterChk[Withdrawal (-)],RegisterChk[Transaction Month],"=" &amp;E$2,RegisterChk[Transaction Year],"="&amp;$C$1,RegisterChk[Category],"=" &amp;$A73)</f>
        <v>0</v>
      </c>
      <c r="F74" s="71">
        <f>SUMIFS(RegisterChk[Withdrawal (-)],RegisterChk[Transaction Month],"=" &amp;F$2,RegisterChk[Transaction Year],"="&amp;$C$1,RegisterChk[Category],"=" &amp;$A73)</f>
        <v>0</v>
      </c>
      <c r="G74" s="71">
        <f>SUMIFS(RegisterChk[Withdrawal (-)],RegisterChk[Transaction Month],"=" &amp;G$2,RegisterChk[Transaction Year],"="&amp;$C$1,RegisterChk[Category],"=" &amp;$A73)</f>
        <v>0</v>
      </c>
      <c r="H74" s="71">
        <f>SUMIFS(RegisterChk[Withdrawal (-)],RegisterChk[Transaction Month],"=" &amp;H$2,RegisterChk[Transaction Year],"="&amp;$C$1,RegisterChk[Category],"=" &amp;$A73)</f>
        <v>0</v>
      </c>
      <c r="I74" s="71">
        <f>SUMIFS(RegisterChk[Withdrawal (-)],RegisterChk[Transaction Month],"=" &amp;I$2,RegisterChk[Transaction Year],"="&amp;$C$1,RegisterChk[Category],"=" &amp;$A73)</f>
        <v>0</v>
      </c>
      <c r="J74" s="71">
        <f>SUMIFS(RegisterChk[Withdrawal (-)],RegisterChk[Transaction Month],"=" &amp;J$2,RegisterChk[Transaction Year],"="&amp;$C$1,RegisterChk[Category],"=" &amp;$A73)</f>
        <v>0</v>
      </c>
      <c r="K74" s="71">
        <f>SUMIFS(RegisterChk[Withdrawal (-)],RegisterChk[Transaction Month],"=" &amp;K$2,RegisterChk[Transaction Year],"="&amp;$C$1,RegisterChk[Category],"=" &amp;$A73)</f>
        <v>0</v>
      </c>
      <c r="L74" s="71">
        <f>SUMIFS(RegisterChk[Withdrawal (-)],RegisterChk[Transaction Month],"=" &amp;L$2,RegisterChk[Transaction Year],"="&amp;$C$1,RegisterChk[Category],"=" &amp;$A73)</f>
        <v>0</v>
      </c>
      <c r="M74" s="71">
        <f>SUMIFS(RegisterChk[Withdrawal (-)],RegisterChk[Transaction Month],"=" &amp;M$2,RegisterChk[Transaction Year],"="&amp;$C$1,RegisterChk[Category],"=" &amp;$A73)</f>
        <v>0</v>
      </c>
      <c r="N74" s="72">
        <f>SUM(tblExpenseCategory_09[[#This Row],[jan]:[dec]])</f>
        <v>0</v>
      </c>
      <c r="O74" s="72">
        <f t="shared" ca="1" si="17"/>
        <v>0</v>
      </c>
    </row>
    <row r="75" spans="1:15" ht="16.5" customHeight="1" x14ac:dyDescent="0.25">
      <c r="A75" s="57" t="s">
        <v>112</v>
      </c>
      <c r="B75" s="71">
        <f>SUMIFS(RegisterChk[Withdrawal (-)],RegisterChk[Transaction Month],"=" &amp;B$2,RegisterChk[Transaction Year],"="&amp;$C$1,RegisterChk[Category],"=" &amp;$A74)</f>
        <v>0</v>
      </c>
      <c r="C75" s="71">
        <f>SUMIFS(RegisterChk[Withdrawal (-)],RegisterChk[Transaction Month],"=" &amp;C$2,RegisterChk[Transaction Year],"="&amp;$C$1,RegisterChk[Category],"=" &amp;$A74)</f>
        <v>0</v>
      </c>
      <c r="D75" s="71">
        <f>SUMIFS(RegisterChk[Withdrawal (-)],RegisterChk[Transaction Month],"=" &amp;D$2,RegisterChk[Transaction Year],"="&amp;$C$1,RegisterChk[Category],"=" &amp;$A74)</f>
        <v>0</v>
      </c>
      <c r="E75" s="71">
        <f>SUMIFS(RegisterChk[Withdrawal (-)],RegisterChk[Transaction Month],"=" &amp;E$2,RegisterChk[Transaction Year],"="&amp;$C$1,RegisterChk[Category],"=" &amp;$A74)</f>
        <v>0</v>
      </c>
      <c r="F75" s="71">
        <f>SUMIFS(RegisterChk[Withdrawal (-)],RegisterChk[Transaction Month],"=" &amp;F$2,RegisterChk[Transaction Year],"="&amp;$C$1,RegisterChk[Category],"=" &amp;$A74)</f>
        <v>0</v>
      </c>
      <c r="G75" s="71">
        <f>SUMIFS(RegisterChk[Withdrawal (-)],RegisterChk[Transaction Month],"=" &amp;G$2,RegisterChk[Transaction Year],"="&amp;$C$1,RegisterChk[Category],"=" &amp;$A74)</f>
        <v>0</v>
      </c>
      <c r="H75" s="71">
        <f>SUMIFS(RegisterChk[Withdrawal (-)],RegisterChk[Transaction Month],"=" &amp;H$2,RegisterChk[Transaction Year],"="&amp;$C$1,RegisterChk[Category],"=" &amp;$A74)</f>
        <v>0</v>
      </c>
      <c r="I75" s="71">
        <f>SUMIFS(RegisterChk[Withdrawal (-)],RegisterChk[Transaction Month],"=" &amp;I$2,RegisterChk[Transaction Year],"="&amp;$C$1,RegisterChk[Category],"=" &amp;$A74)</f>
        <v>0</v>
      </c>
      <c r="J75" s="71">
        <f>SUMIFS(RegisterChk[Withdrawal (-)],RegisterChk[Transaction Month],"=" &amp;J$2,RegisterChk[Transaction Year],"="&amp;$C$1,RegisterChk[Category],"=" &amp;$A74)</f>
        <v>0</v>
      </c>
      <c r="K75" s="71">
        <f>SUMIFS(RegisterChk[Withdrawal (-)],RegisterChk[Transaction Month],"=" &amp;K$2,RegisterChk[Transaction Year],"="&amp;$C$1,RegisterChk[Category],"=" &amp;$A74)</f>
        <v>0</v>
      </c>
      <c r="L75" s="71">
        <f>SUMIFS(RegisterChk[Withdrawal (-)],RegisterChk[Transaction Month],"=" &amp;L$2,RegisterChk[Transaction Year],"="&amp;$C$1,RegisterChk[Category],"=" &amp;$A74)</f>
        <v>0</v>
      </c>
      <c r="M75" s="71">
        <f>SUMIFS(RegisterChk[Withdrawal (-)],RegisterChk[Transaction Month],"=" &amp;M$2,RegisterChk[Transaction Year],"="&amp;$C$1,RegisterChk[Category],"=" &amp;$A74)</f>
        <v>0</v>
      </c>
      <c r="N75" s="72">
        <f>SUM(tblExpenseCategory_09[[#This Row],[jan]:[dec]])</f>
        <v>0</v>
      </c>
      <c r="O75" s="72">
        <f t="shared" ca="1" si="17"/>
        <v>0</v>
      </c>
    </row>
    <row r="76" spans="1:15" ht="16.5" customHeight="1" x14ac:dyDescent="0.25">
      <c r="A76" s="122" t="str">
        <f>UPPER("Total " &amp; A72)</f>
        <v>TOTAL SAVINGS</v>
      </c>
      <c r="B76" s="123">
        <f>SUM(tblExpenseCategory_09[jan])</f>
        <v>0</v>
      </c>
      <c r="C76" s="123">
        <f>SUM(tblExpenseCategory_09[feb])</f>
        <v>0</v>
      </c>
      <c r="D76" s="123">
        <f>SUM(tblExpenseCategory_09[mar])</f>
        <v>0</v>
      </c>
      <c r="E76" s="123">
        <f>SUM(tblExpenseCategory_09[apr])</f>
        <v>0</v>
      </c>
      <c r="F76" s="123">
        <f>SUM(tblExpenseCategory_09[may])</f>
        <v>0</v>
      </c>
      <c r="G76" s="123">
        <f>SUM(tblExpenseCategory_09[jun])</f>
        <v>0</v>
      </c>
      <c r="H76" s="123">
        <f>SUM(tblExpenseCategory_09[jul])</f>
        <v>0</v>
      </c>
      <c r="I76" s="123">
        <f>SUM(tblExpenseCategory_09[aug])</f>
        <v>0</v>
      </c>
      <c r="J76" s="123">
        <f>SUM(tblExpenseCategory_09[sep])</f>
        <v>0</v>
      </c>
      <c r="K76" s="123">
        <f>SUM(tblExpenseCategory_09[oct])</f>
        <v>0</v>
      </c>
      <c r="L76" s="123">
        <f>SUM(tblExpenseCategory_09[nov])</f>
        <v>0</v>
      </c>
      <c r="M76" s="123">
        <f>SUM(tblExpenseCategory_09[dec])</f>
        <v>0</v>
      </c>
      <c r="N76" s="124">
        <f>SUM(tblExpenseCategory_09[year])</f>
        <v>0</v>
      </c>
      <c r="O76" s="124">
        <f t="shared" ref="O76" ca="1" si="18">SUM(B76:M76)/MONTH(NOW())</f>
        <v>0</v>
      </c>
    </row>
    <row r="77" spans="1:15" ht="16.5" customHeight="1" x14ac:dyDescent="0.25">
      <c r="A77" s="133"/>
      <c r="B77" s="133"/>
      <c r="C77" s="133"/>
      <c r="D77" s="133"/>
      <c r="E77" s="133"/>
      <c r="F77" s="133"/>
      <c r="G77" s="133"/>
      <c r="H77" s="133"/>
      <c r="I77" s="133"/>
      <c r="J77" s="133"/>
      <c r="K77" s="133"/>
      <c r="L77" s="133"/>
      <c r="M77" s="133"/>
      <c r="N77" s="63"/>
      <c r="O77" s="63"/>
    </row>
    <row r="78" spans="1:15" ht="16.5" customHeight="1" thickBot="1" x14ac:dyDescent="0.3">
      <c r="A78" s="58"/>
      <c r="B78" s="64"/>
      <c r="C78" s="64"/>
      <c r="D78" s="64"/>
      <c r="E78" s="64"/>
      <c r="F78" s="64"/>
      <c r="G78" s="64"/>
      <c r="H78" s="64"/>
      <c r="I78" s="64"/>
      <c r="J78" s="64"/>
      <c r="K78" s="64"/>
      <c r="L78" s="64"/>
      <c r="M78" s="64"/>
      <c r="N78" s="63"/>
      <c r="O78" s="63"/>
    </row>
    <row r="79" spans="1:15" ht="16.5" customHeight="1" thickTop="1" x14ac:dyDescent="0.25">
      <c r="A79" s="77" t="s">
        <v>26</v>
      </c>
      <c r="B79" s="65"/>
      <c r="C79" s="65"/>
      <c r="D79" s="65"/>
      <c r="E79" s="65"/>
      <c r="F79" s="65"/>
      <c r="G79" s="65"/>
      <c r="H79" s="65"/>
      <c r="I79" s="65"/>
      <c r="J79" s="65"/>
      <c r="K79" s="65"/>
      <c r="L79" s="65"/>
      <c r="M79" s="65"/>
      <c r="N79" s="66"/>
      <c r="O79" s="66"/>
    </row>
    <row r="80" spans="1:15" ht="16.5" customHeight="1" x14ac:dyDescent="0.25">
      <c r="A80" s="57" t="s">
        <v>110</v>
      </c>
      <c r="B80" s="71">
        <f>SUMIFS(RegisterChk[Withdrawal (-)],RegisterChk[Transaction Month],"=" &amp;B$2,RegisterChk[Transaction Year],"="&amp;$C$1,RegisterChk[Category],"=" &amp;$A79)</f>
        <v>0</v>
      </c>
      <c r="C80" s="71">
        <f>SUMIFS(RegisterChk[Withdrawal (-)],RegisterChk[Transaction Month],"=" &amp;C$2,RegisterChk[Transaction Year],"="&amp;$C$1,RegisterChk[Category],"=" &amp;$A79)</f>
        <v>0</v>
      </c>
      <c r="D80" s="71">
        <f>SUMIFS(RegisterChk[Withdrawal (-)],RegisterChk[Transaction Month],"=" &amp;D$2,RegisterChk[Transaction Year],"="&amp;$C$1,RegisterChk[Category],"=" &amp;$A79)</f>
        <v>0</v>
      </c>
      <c r="E80" s="71">
        <f>SUMIFS(RegisterChk[Withdrawal (-)],RegisterChk[Transaction Month],"=" &amp;E$2,RegisterChk[Transaction Year],"="&amp;$C$1,RegisterChk[Category],"=" &amp;$A79)</f>
        <v>0</v>
      </c>
      <c r="F80" s="71">
        <f>SUMIFS(RegisterChk[Withdrawal (-)],RegisterChk[Transaction Month],"=" &amp;F$2,RegisterChk[Transaction Year],"="&amp;$C$1,RegisterChk[Category],"=" &amp;$A79)</f>
        <v>0</v>
      </c>
      <c r="G80" s="71">
        <f>SUMIFS(RegisterChk[Withdrawal (-)],RegisterChk[Transaction Month],"=" &amp;G$2,RegisterChk[Transaction Year],"="&amp;$C$1,RegisterChk[Category],"=" &amp;$A79)</f>
        <v>0</v>
      </c>
      <c r="H80" s="71">
        <f>SUMIFS(RegisterChk[Withdrawal (-)],RegisterChk[Transaction Month],"=" &amp;H$2,RegisterChk[Transaction Year],"="&amp;$C$1,RegisterChk[Category],"=" &amp;$A79)</f>
        <v>0</v>
      </c>
      <c r="I80" s="71">
        <f>SUMIFS(RegisterChk[Withdrawal (-)],RegisterChk[Transaction Month],"=" &amp;I$2,RegisterChk[Transaction Year],"="&amp;$C$1,RegisterChk[Category],"=" &amp;$A79)</f>
        <v>0</v>
      </c>
      <c r="J80" s="71">
        <f>SUMIFS(RegisterChk[Withdrawal (-)],RegisterChk[Transaction Month],"=" &amp;J$2,RegisterChk[Transaction Year],"="&amp;$C$1,RegisterChk[Category],"=" &amp;$A79)</f>
        <v>0</v>
      </c>
      <c r="K80" s="71">
        <f>SUMIFS(RegisterChk[Withdrawal (-)],RegisterChk[Transaction Month],"=" &amp;K$2,RegisterChk[Transaction Year],"="&amp;$C$1,RegisterChk[Category],"=" &amp;$A79)</f>
        <v>0</v>
      </c>
      <c r="L80" s="71">
        <f>SUMIFS(RegisterChk[Withdrawal (-)],RegisterChk[Transaction Month],"=" &amp;L$2,RegisterChk[Transaction Year],"="&amp;$C$1,RegisterChk[Category],"=" &amp;$A79)</f>
        <v>0</v>
      </c>
      <c r="M80" s="71">
        <f>SUMIFS(RegisterChk[Withdrawal (-)],RegisterChk[Transaction Month],"=" &amp;M$2,RegisterChk[Transaction Year],"="&amp;$C$1,RegisterChk[Category],"=" &amp;$A79)</f>
        <v>0</v>
      </c>
      <c r="N80" s="72">
        <f>SUM(tblExpenseCategory_10[[#This Row],[jan]:[dec]])</f>
        <v>0</v>
      </c>
      <c r="O80" s="72">
        <f t="shared" ref="O80:O82" ca="1" si="19">SUM(B80:M80)/MONTH(NOW())</f>
        <v>0</v>
      </c>
    </row>
    <row r="81" spans="1:15" ht="16.5" customHeight="1" x14ac:dyDescent="0.25">
      <c r="A81" s="57" t="s">
        <v>111</v>
      </c>
      <c r="B81" s="71">
        <f>SUMIFS(RegisterChk[Withdrawal (-)],RegisterChk[Transaction Month],"=" &amp;B$2,RegisterChk[Transaction Year],"="&amp;$C$1,RegisterChk[Category],"=" &amp;$A80)</f>
        <v>0</v>
      </c>
      <c r="C81" s="71">
        <f>SUMIFS(RegisterChk[Withdrawal (-)],RegisterChk[Transaction Month],"=" &amp;C$2,RegisterChk[Transaction Year],"="&amp;$C$1,RegisterChk[Category],"=" &amp;$A80)</f>
        <v>0</v>
      </c>
      <c r="D81" s="71">
        <f>SUMIFS(RegisterChk[Withdrawal (-)],RegisterChk[Transaction Month],"=" &amp;D$2,RegisterChk[Transaction Year],"="&amp;$C$1,RegisterChk[Category],"=" &amp;$A80)</f>
        <v>0</v>
      </c>
      <c r="E81" s="71">
        <f>SUMIFS(RegisterChk[Withdrawal (-)],RegisterChk[Transaction Month],"=" &amp;E$2,RegisterChk[Transaction Year],"="&amp;$C$1,RegisterChk[Category],"=" &amp;$A80)</f>
        <v>0</v>
      </c>
      <c r="F81" s="71">
        <f>SUMIFS(RegisterChk[Withdrawal (-)],RegisterChk[Transaction Month],"=" &amp;F$2,RegisterChk[Transaction Year],"="&amp;$C$1,RegisterChk[Category],"=" &amp;$A80)</f>
        <v>0</v>
      </c>
      <c r="G81" s="71">
        <f>SUMIFS(RegisterChk[Withdrawal (-)],RegisterChk[Transaction Month],"=" &amp;G$2,RegisterChk[Transaction Year],"="&amp;$C$1,RegisterChk[Category],"=" &amp;$A80)</f>
        <v>0</v>
      </c>
      <c r="H81" s="71">
        <f>SUMIFS(RegisterChk[Withdrawal (-)],RegisterChk[Transaction Month],"=" &amp;H$2,RegisterChk[Transaction Year],"="&amp;$C$1,RegisterChk[Category],"=" &amp;$A80)</f>
        <v>0</v>
      </c>
      <c r="I81" s="71">
        <f>SUMIFS(RegisterChk[Withdrawal (-)],RegisterChk[Transaction Month],"=" &amp;I$2,RegisterChk[Transaction Year],"="&amp;$C$1,RegisterChk[Category],"=" &amp;$A80)</f>
        <v>0</v>
      </c>
      <c r="J81" s="71">
        <f>SUMIFS(RegisterChk[Withdrawal (-)],RegisterChk[Transaction Month],"=" &amp;J$2,RegisterChk[Transaction Year],"="&amp;$C$1,RegisterChk[Category],"=" &amp;$A80)</f>
        <v>0</v>
      </c>
      <c r="K81" s="71">
        <f>SUMIFS(RegisterChk[Withdrawal (-)],RegisterChk[Transaction Month],"=" &amp;K$2,RegisterChk[Transaction Year],"="&amp;$C$1,RegisterChk[Category],"=" &amp;$A80)</f>
        <v>0</v>
      </c>
      <c r="L81" s="71">
        <f>SUMIFS(RegisterChk[Withdrawal (-)],RegisterChk[Transaction Month],"=" &amp;L$2,RegisterChk[Transaction Year],"="&amp;$C$1,RegisterChk[Category],"=" &amp;$A80)</f>
        <v>0</v>
      </c>
      <c r="M81" s="71">
        <f>SUMIFS(RegisterChk[Withdrawal (-)],RegisterChk[Transaction Month],"=" &amp;M$2,RegisterChk[Transaction Year],"="&amp;$C$1,RegisterChk[Category],"=" &amp;$A80)</f>
        <v>0</v>
      </c>
      <c r="N81" s="72">
        <f>SUM(tblExpenseCategory_10[[#This Row],[jan]:[dec]])</f>
        <v>0</v>
      </c>
      <c r="O81" s="72">
        <f t="shared" ca="1" si="19"/>
        <v>0</v>
      </c>
    </row>
    <row r="82" spans="1:15" ht="16.5" customHeight="1" x14ac:dyDescent="0.25">
      <c r="A82" s="57" t="s">
        <v>112</v>
      </c>
      <c r="B82" s="71">
        <f>SUMIFS(RegisterChk[Withdrawal (-)],RegisterChk[Transaction Month],"=" &amp;B$2,RegisterChk[Transaction Year],"="&amp;$C$1,RegisterChk[Category],"=" &amp;$A81)</f>
        <v>0</v>
      </c>
      <c r="C82" s="71">
        <f>SUMIFS(RegisterChk[Withdrawal (-)],RegisterChk[Transaction Month],"=" &amp;C$2,RegisterChk[Transaction Year],"="&amp;$C$1,RegisterChk[Category],"=" &amp;$A81)</f>
        <v>0</v>
      </c>
      <c r="D82" s="71">
        <f>SUMIFS(RegisterChk[Withdrawal (-)],RegisterChk[Transaction Month],"=" &amp;D$2,RegisterChk[Transaction Year],"="&amp;$C$1,RegisterChk[Category],"=" &amp;$A81)</f>
        <v>0</v>
      </c>
      <c r="E82" s="71">
        <f>SUMIFS(RegisterChk[Withdrawal (-)],RegisterChk[Transaction Month],"=" &amp;E$2,RegisterChk[Transaction Year],"="&amp;$C$1,RegisterChk[Category],"=" &amp;$A81)</f>
        <v>0</v>
      </c>
      <c r="F82" s="71">
        <f>SUMIFS(RegisterChk[Withdrawal (-)],RegisterChk[Transaction Month],"=" &amp;F$2,RegisterChk[Transaction Year],"="&amp;$C$1,RegisterChk[Category],"=" &amp;$A81)</f>
        <v>0</v>
      </c>
      <c r="G82" s="71">
        <f>SUMIFS(RegisterChk[Withdrawal (-)],RegisterChk[Transaction Month],"=" &amp;G$2,RegisterChk[Transaction Year],"="&amp;$C$1,RegisterChk[Category],"=" &amp;$A81)</f>
        <v>0</v>
      </c>
      <c r="H82" s="71">
        <f>SUMIFS(RegisterChk[Withdrawal (-)],RegisterChk[Transaction Month],"=" &amp;H$2,RegisterChk[Transaction Year],"="&amp;$C$1,RegisterChk[Category],"=" &amp;$A81)</f>
        <v>0</v>
      </c>
      <c r="I82" s="71">
        <f>SUMIFS(RegisterChk[Withdrawal (-)],RegisterChk[Transaction Month],"=" &amp;I$2,RegisterChk[Transaction Year],"="&amp;$C$1,RegisterChk[Category],"=" &amp;$A81)</f>
        <v>0</v>
      </c>
      <c r="J82" s="71">
        <f>SUMIFS(RegisterChk[Withdrawal (-)],RegisterChk[Transaction Month],"=" &amp;J$2,RegisterChk[Transaction Year],"="&amp;$C$1,RegisterChk[Category],"=" &amp;$A81)</f>
        <v>0</v>
      </c>
      <c r="K82" s="71">
        <f>SUMIFS(RegisterChk[Withdrawal (-)],RegisterChk[Transaction Month],"=" &amp;K$2,RegisterChk[Transaction Year],"="&amp;$C$1,RegisterChk[Category],"=" &amp;$A81)</f>
        <v>0</v>
      </c>
      <c r="L82" s="71">
        <f>SUMIFS(RegisterChk[Withdrawal (-)],RegisterChk[Transaction Month],"=" &amp;L$2,RegisterChk[Transaction Year],"="&amp;$C$1,RegisterChk[Category],"=" &amp;$A81)</f>
        <v>0</v>
      </c>
      <c r="M82" s="71">
        <f>SUMIFS(RegisterChk[Withdrawal (-)],RegisterChk[Transaction Month],"=" &amp;M$2,RegisterChk[Transaction Year],"="&amp;$C$1,RegisterChk[Category],"=" &amp;$A81)</f>
        <v>0</v>
      </c>
      <c r="N82" s="72">
        <f>SUM(tblExpenseCategory_10[[#This Row],[jan]:[dec]])</f>
        <v>0</v>
      </c>
      <c r="O82" s="72">
        <f t="shared" ca="1" si="19"/>
        <v>0</v>
      </c>
    </row>
    <row r="83" spans="1:15" ht="16.5" customHeight="1" x14ac:dyDescent="0.25">
      <c r="A83" s="122" t="str">
        <f>UPPER("Total " &amp; A79)</f>
        <v>TOTAL HEALTH</v>
      </c>
      <c r="B83" s="123">
        <f>SUM(tblExpenseCategory_10[jan])</f>
        <v>0</v>
      </c>
      <c r="C83" s="123">
        <f>SUM(tblExpenseCategory_10[feb])</f>
        <v>0</v>
      </c>
      <c r="D83" s="123">
        <f>SUM(tblExpenseCategory_10[mar])</f>
        <v>0</v>
      </c>
      <c r="E83" s="123">
        <f>SUM(tblExpenseCategory_10[apr])</f>
        <v>0</v>
      </c>
      <c r="F83" s="123">
        <f>SUM(tblExpenseCategory_10[may])</f>
        <v>0</v>
      </c>
      <c r="G83" s="123">
        <f>SUM(tblExpenseCategory_10[jun])</f>
        <v>0</v>
      </c>
      <c r="H83" s="123">
        <f>SUM(tblExpenseCategory_10[jul])</f>
        <v>0</v>
      </c>
      <c r="I83" s="123">
        <f>SUM(tblExpenseCategory_10[aug])</f>
        <v>0</v>
      </c>
      <c r="J83" s="123">
        <f>SUM(tblExpenseCategory_10[sep])</f>
        <v>0</v>
      </c>
      <c r="K83" s="123">
        <f>SUM(tblExpenseCategory_10[oct])</f>
        <v>0</v>
      </c>
      <c r="L83" s="123">
        <f>SUM(tblExpenseCategory_10[nov])</f>
        <v>0</v>
      </c>
      <c r="M83" s="123">
        <f>SUM(tblExpenseCategory_10[dec])</f>
        <v>0</v>
      </c>
      <c r="N83" s="124">
        <f>SUM(tblExpenseCategory_10[year])</f>
        <v>0</v>
      </c>
      <c r="O83" s="124">
        <f t="shared" ref="O83" ca="1" si="20">SUM(B83:M83)/MONTH(NOW())</f>
        <v>0</v>
      </c>
    </row>
    <row r="84" spans="1:15" ht="16.5" customHeight="1" x14ac:dyDescent="0.25">
      <c r="A84" s="133"/>
      <c r="B84" s="133"/>
      <c r="C84" s="133"/>
      <c r="D84" s="133"/>
      <c r="E84" s="133"/>
      <c r="F84" s="133"/>
      <c r="G84" s="133"/>
      <c r="H84" s="133"/>
      <c r="I84" s="133"/>
      <c r="J84" s="133"/>
      <c r="K84" s="133"/>
      <c r="L84" s="133"/>
      <c r="M84" s="133"/>
      <c r="N84" s="63"/>
      <c r="O84" s="63"/>
    </row>
    <row r="85" spans="1:15" ht="16.5" customHeight="1" thickBot="1" x14ac:dyDescent="0.3">
      <c r="A85" s="58"/>
      <c r="B85" s="64"/>
      <c r="C85" s="64"/>
      <c r="D85" s="64"/>
      <c r="E85" s="64"/>
      <c r="F85" s="64"/>
      <c r="G85" s="64"/>
      <c r="H85" s="64"/>
      <c r="I85" s="64"/>
      <c r="J85" s="64"/>
      <c r="K85" s="64"/>
      <c r="L85" s="64"/>
      <c r="M85" s="64"/>
      <c r="N85" s="63"/>
      <c r="O85" s="63"/>
    </row>
    <row r="86" spans="1:15" ht="16.5" customHeight="1" thickTop="1" x14ac:dyDescent="0.25">
      <c r="A86" s="77" t="s">
        <v>64</v>
      </c>
      <c r="B86" s="65"/>
      <c r="C86" s="65"/>
      <c r="D86" s="65"/>
      <c r="E86" s="65"/>
      <c r="F86" s="65"/>
      <c r="G86" s="65"/>
      <c r="H86" s="65"/>
      <c r="I86" s="65"/>
      <c r="J86" s="65"/>
      <c r="K86" s="65"/>
      <c r="L86" s="65"/>
      <c r="M86" s="65"/>
      <c r="N86" s="66"/>
      <c r="O86" s="66"/>
    </row>
    <row r="87" spans="1:15" ht="16.5" customHeight="1" x14ac:dyDescent="0.25">
      <c r="A87" s="57" t="s">
        <v>110</v>
      </c>
      <c r="B87" s="71">
        <f>SUMIFS(RegisterChk[Withdrawal (-)],RegisterChk[Transaction Month],"=" &amp;B$2,RegisterChk[Transaction Year],"="&amp;$C$1,RegisterChk[Category],"=" &amp;$A86)</f>
        <v>0</v>
      </c>
      <c r="C87" s="71">
        <f>SUMIFS(RegisterChk[Withdrawal (-)],RegisterChk[Transaction Month],"=" &amp;C$2,RegisterChk[Transaction Year],"="&amp;$C$1,RegisterChk[Category],"=" &amp;$A86)</f>
        <v>0</v>
      </c>
      <c r="D87" s="71">
        <f>SUMIFS(RegisterChk[Withdrawal (-)],RegisterChk[Transaction Month],"=" &amp;D$2,RegisterChk[Transaction Year],"="&amp;$C$1,RegisterChk[Category],"=" &amp;$A86)</f>
        <v>0</v>
      </c>
      <c r="E87" s="71">
        <f>SUMIFS(RegisterChk[Withdrawal (-)],RegisterChk[Transaction Month],"=" &amp;E$2,RegisterChk[Transaction Year],"="&amp;$C$1,RegisterChk[Category],"=" &amp;$A86)</f>
        <v>0</v>
      </c>
      <c r="F87" s="71">
        <f>SUMIFS(RegisterChk[Withdrawal (-)],RegisterChk[Transaction Month],"=" &amp;F$2,RegisterChk[Transaction Year],"="&amp;$C$1,RegisterChk[Category],"=" &amp;$A86)</f>
        <v>0</v>
      </c>
      <c r="G87" s="71">
        <f>SUMIFS(RegisterChk[Withdrawal (-)],RegisterChk[Transaction Month],"=" &amp;G$2,RegisterChk[Transaction Year],"="&amp;$C$1,RegisterChk[Category],"=" &amp;$A86)</f>
        <v>0</v>
      </c>
      <c r="H87" s="71">
        <f>SUMIFS(RegisterChk[Withdrawal (-)],RegisterChk[Transaction Month],"=" &amp;H$2,RegisterChk[Transaction Year],"="&amp;$C$1,RegisterChk[Category],"=" &amp;$A86)</f>
        <v>0</v>
      </c>
      <c r="I87" s="71">
        <f>SUMIFS(RegisterChk[Withdrawal (-)],RegisterChk[Transaction Month],"=" &amp;I$2,RegisterChk[Transaction Year],"="&amp;$C$1,RegisterChk[Category],"=" &amp;$A86)</f>
        <v>0</v>
      </c>
      <c r="J87" s="71">
        <f>SUMIFS(RegisterChk[Withdrawal (-)],RegisterChk[Transaction Month],"=" &amp;J$2,RegisterChk[Transaction Year],"="&amp;$C$1,RegisterChk[Category],"=" &amp;$A86)</f>
        <v>0</v>
      </c>
      <c r="K87" s="71">
        <f>SUMIFS(RegisterChk[Withdrawal (-)],RegisterChk[Transaction Month],"=" &amp;K$2,RegisterChk[Transaction Year],"="&amp;$C$1,RegisterChk[Category],"=" &amp;$A86)</f>
        <v>0</v>
      </c>
      <c r="L87" s="71">
        <f>SUMIFS(RegisterChk[Withdrawal (-)],RegisterChk[Transaction Month],"=" &amp;L$2,RegisterChk[Transaction Year],"="&amp;$C$1,RegisterChk[Category],"=" &amp;$A86)</f>
        <v>0</v>
      </c>
      <c r="M87" s="71">
        <f>SUMIFS(RegisterChk[Withdrawal (-)],RegisterChk[Transaction Month],"=" &amp;M$2,RegisterChk[Transaction Year],"="&amp;$C$1,RegisterChk[Category],"=" &amp;$A86)</f>
        <v>0</v>
      </c>
      <c r="N87" s="72">
        <f>SUM(tblExpenseCategory_11[[#This Row],[jan]:[dec]])</f>
        <v>0</v>
      </c>
      <c r="O87" s="72">
        <f t="shared" ref="O87:O89" ca="1" si="21">SUM(B87:M87)/MONTH(NOW())</f>
        <v>0</v>
      </c>
    </row>
    <row r="88" spans="1:15" ht="16.5" customHeight="1" x14ac:dyDescent="0.25">
      <c r="A88" s="57" t="s">
        <v>111</v>
      </c>
      <c r="B88" s="71">
        <f>SUMIFS(RegisterChk[Withdrawal (-)],RegisterChk[Transaction Month],"=" &amp;B$2,RegisterChk[Transaction Year],"="&amp;$C$1,RegisterChk[Category],"=" &amp;$A87)</f>
        <v>0</v>
      </c>
      <c r="C88" s="71">
        <f>SUMIFS(RegisterChk[Withdrawal (-)],RegisterChk[Transaction Month],"=" &amp;C$2,RegisterChk[Transaction Year],"="&amp;$C$1,RegisterChk[Category],"=" &amp;$A87)</f>
        <v>0</v>
      </c>
      <c r="D88" s="71">
        <f>SUMIFS(RegisterChk[Withdrawal (-)],RegisterChk[Transaction Month],"=" &amp;D$2,RegisterChk[Transaction Year],"="&amp;$C$1,RegisterChk[Category],"=" &amp;$A87)</f>
        <v>0</v>
      </c>
      <c r="E88" s="71">
        <f>SUMIFS(RegisterChk[Withdrawal (-)],RegisterChk[Transaction Month],"=" &amp;E$2,RegisterChk[Transaction Year],"="&amp;$C$1,RegisterChk[Category],"=" &amp;$A87)</f>
        <v>0</v>
      </c>
      <c r="F88" s="71">
        <f>SUMIFS(RegisterChk[Withdrawal (-)],RegisterChk[Transaction Month],"=" &amp;F$2,RegisterChk[Transaction Year],"="&amp;$C$1,RegisterChk[Category],"=" &amp;$A87)</f>
        <v>0</v>
      </c>
      <c r="G88" s="71">
        <f>SUMIFS(RegisterChk[Withdrawal (-)],RegisterChk[Transaction Month],"=" &amp;G$2,RegisterChk[Transaction Year],"="&amp;$C$1,RegisterChk[Category],"=" &amp;$A87)</f>
        <v>0</v>
      </c>
      <c r="H88" s="71">
        <f>SUMIFS(RegisterChk[Withdrawal (-)],RegisterChk[Transaction Month],"=" &amp;H$2,RegisterChk[Transaction Year],"="&amp;$C$1,RegisterChk[Category],"=" &amp;$A87)</f>
        <v>0</v>
      </c>
      <c r="I88" s="71">
        <f>SUMIFS(RegisterChk[Withdrawal (-)],RegisterChk[Transaction Month],"=" &amp;I$2,RegisterChk[Transaction Year],"="&amp;$C$1,RegisterChk[Category],"=" &amp;$A87)</f>
        <v>0</v>
      </c>
      <c r="J88" s="71">
        <f>SUMIFS(RegisterChk[Withdrawal (-)],RegisterChk[Transaction Month],"=" &amp;J$2,RegisterChk[Transaction Year],"="&amp;$C$1,RegisterChk[Category],"=" &amp;$A87)</f>
        <v>0</v>
      </c>
      <c r="K88" s="71">
        <f>SUMIFS(RegisterChk[Withdrawal (-)],RegisterChk[Transaction Month],"=" &amp;K$2,RegisterChk[Transaction Year],"="&amp;$C$1,RegisterChk[Category],"=" &amp;$A87)</f>
        <v>0</v>
      </c>
      <c r="L88" s="71">
        <f>SUMIFS(RegisterChk[Withdrawal (-)],RegisterChk[Transaction Month],"=" &amp;L$2,RegisterChk[Transaction Year],"="&amp;$C$1,RegisterChk[Category],"=" &amp;$A87)</f>
        <v>0</v>
      </c>
      <c r="M88" s="71">
        <f>SUMIFS(RegisterChk[Withdrawal (-)],RegisterChk[Transaction Month],"=" &amp;M$2,RegisterChk[Transaction Year],"="&amp;$C$1,RegisterChk[Category],"=" &amp;$A87)</f>
        <v>0</v>
      </c>
      <c r="N88" s="72">
        <f>SUM(tblExpenseCategory_11[[#This Row],[jan]:[dec]])</f>
        <v>0</v>
      </c>
      <c r="O88" s="72">
        <f t="shared" ca="1" si="21"/>
        <v>0</v>
      </c>
    </row>
    <row r="89" spans="1:15" ht="16.5" customHeight="1" x14ac:dyDescent="0.25">
      <c r="A89" s="57" t="s">
        <v>112</v>
      </c>
      <c r="B89" s="71">
        <f>SUMIFS(RegisterChk[Withdrawal (-)],RegisterChk[Transaction Month],"=" &amp;B$2,RegisterChk[Transaction Year],"="&amp;$C$1,RegisterChk[Category],"=" &amp;$A88)</f>
        <v>0</v>
      </c>
      <c r="C89" s="71">
        <f>SUMIFS(RegisterChk[Withdrawal (-)],RegisterChk[Transaction Month],"=" &amp;C$2,RegisterChk[Transaction Year],"="&amp;$C$1,RegisterChk[Category],"=" &amp;$A88)</f>
        <v>0</v>
      </c>
      <c r="D89" s="71">
        <f>SUMIFS(RegisterChk[Withdrawal (-)],RegisterChk[Transaction Month],"=" &amp;D$2,RegisterChk[Transaction Year],"="&amp;$C$1,RegisterChk[Category],"=" &amp;$A88)</f>
        <v>0</v>
      </c>
      <c r="E89" s="71">
        <f>SUMIFS(RegisterChk[Withdrawal (-)],RegisterChk[Transaction Month],"=" &amp;E$2,RegisterChk[Transaction Year],"="&amp;$C$1,RegisterChk[Category],"=" &amp;$A88)</f>
        <v>0</v>
      </c>
      <c r="F89" s="71">
        <f>SUMIFS(RegisterChk[Withdrawal (-)],RegisterChk[Transaction Month],"=" &amp;F$2,RegisterChk[Transaction Year],"="&amp;$C$1,RegisterChk[Category],"=" &amp;$A88)</f>
        <v>0</v>
      </c>
      <c r="G89" s="71">
        <f>SUMIFS(RegisterChk[Withdrawal (-)],RegisterChk[Transaction Month],"=" &amp;G$2,RegisterChk[Transaction Year],"="&amp;$C$1,RegisterChk[Category],"=" &amp;$A88)</f>
        <v>0</v>
      </c>
      <c r="H89" s="71">
        <f>SUMIFS(RegisterChk[Withdrawal (-)],RegisterChk[Transaction Month],"=" &amp;H$2,RegisterChk[Transaction Year],"="&amp;$C$1,RegisterChk[Category],"=" &amp;$A88)</f>
        <v>0</v>
      </c>
      <c r="I89" s="71">
        <f>SUMIFS(RegisterChk[Withdrawal (-)],RegisterChk[Transaction Month],"=" &amp;I$2,RegisterChk[Transaction Year],"="&amp;$C$1,RegisterChk[Category],"=" &amp;$A88)</f>
        <v>0</v>
      </c>
      <c r="J89" s="71">
        <f>SUMIFS(RegisterChk[Withdrawal (-)],RegisterChk[Transaction Month],"=" &amp;J$2,RegisterChk[Transaction Year],"="&amp;$C$1,RegisterChk[Category],"=" &amp;$A88)</f>
        <v>0</v>
      </c>
      <c r="K89" s="71">
        <f>SUMIFS(RegisterChk[Withdrawal (-)],RegisterChk[Transaction Month],"=" &amp;K$2,RegisterChk[Transaction Year],"="&amp;$C$1,RegisterChk[Category],"=" &amp;$A88)</f>
        <v>0</v>
      </c>
      <c r="L89" s="71">
        <f>SUMIFS(RegisterChk[Withdrawal (-)],RegisterChk[Transaction Month],"=" &amp;L$2,RegisterChk[Transaction Year],"="&amp;$C$1,RegisterChk[Category],"=" &amp;$A88)</f>
        <v>0</v>
      </c>
      <c r="M89" s="71">
        <f>SUMIFS(RegisterChk[Withdrawal (-)],RegisterChk[Transaction Month],"=" &amp;M$2,RegisterChk[Transaction Year],"="&amp;$C$1,RegisterChk[Category],"=" &amp;$A88)</f>
        <v>0</v>
      </c>
      <c r="N89" s="72">
        <f>SUM(tblExpenseCategory_11[[#This Row],[jan]:[dec]])</f>
        <v>0</v>
      </c>
      <c r="O89" s="72">
        <f t="shared" ca="1" si="21"/>
        <v>0</v>
      </c>
    </row>
    <row r="90" spans="1:15" ht="16.5" customHeight="1" x14ac:dyDescent="0.25">
      <c r="A90" s="122" t="str">
        <f>UPPER("Total " &amp; A86)</f>
        <v>TOTAL DINING/EATING OUT</v>
      </c>
      <c r="B90" s="123">
        <f>SUM(tblExpenseCategory_11[jan])</f>
        <v>0</v>
      </c>
      <c r="C90" s="123">
        <f>SUM(tblExpenseCategory_11[feb])</f>
        <v>0</v>
      </c>
      <c r="D90" s="123">
        <f>SUM(tblExpenseCategory_11[mar])</f>
        <v>0</v>
      </c>
      <c r="E90" s="123">
        <f>SUM(tblExpenseCategory_11[apr])</f>
        <v>0</v>
      </c>
      <c r="F90" s="123">
        <f>SUM(tblExpenseCategory_11[may])</f>
        <v>0</v>
      </c>
      <c r="G90" s="123">
        <f>SUM(tblExpenseCategory_11[jun])</f>
        <v>0</v>
      </c>
      <c r="H90" s="123">
        <f>SUM(tblExpenseCategory_11[jul])</f>
        <v>0</v>
      </c>
      <c r="I90" s="123">
        <f>SUM(tblExpenseCategory_11[aug])</f>
        <v>0</v>
      </c>
      <c r="J90" s="123">
        <f>SUM(tblExpenseCategory_11[sep])</f>
        <v>0</v>
      </c>
      <c r="K90" s="123">
        <f>SUM(tblExpenseCategory_11[oct])</f>
        <v>0</v>
      </c>
      <c r="L90" s="123">
        <f>SUM(tblExpenseCategory_11[nov])</f>
        <v>0</v>
      </c>
      <c r="M90" s="123">
        <f>SUM(tblExpenseCategory_11[dec])</f>
        <v>0</v>
      </c>
      <c r="N90" s="124">
        <f>SUM(tblExpenseCategory_11[year])</f>
        <v>0</v>
      </c>
      <c r="O90" s="124">
        <f t="shared" ref="O90" ca="1" si="22">SUM(B90:M90)/MONTH(NOW())</f>
        <v>0</v>
      </c>
    </row>
    <row r="91" spans="1:15" ht="16.5" customHeight="1" x14ac:dyDescent="0.25">
      <c r="A91" s="133"/>
      <c r="B91" s="133"/>
      <c r="C91" s="133"/>
      <c r="D91" s="133"/>
      <c r="E91" s="133"/>
      <c r="F91" s="133"/>
      <c r="G91" s="133"/>
      <c r="H91" s="133"/>
      <c r="I91" s="133"/>
      <c r="J91" s="133"/>
      <c r="K91" s="133"/>
      <c r="L91" s="133"/>
      <c r="M91" s="133"/>
      <c r="N91" s="63"/>
      <c r="O91" s="63"/>
    </row>
    <row r="92" spans="1:15" ht="16.5" customHeight="1" thickBot="1" x14ac:dyDescent="0.3">
      <c r="A92" s="58"/>
      <c r="B92" s="64"/>
      <c r="C92" s="64"/>
      <c r="D92" s="64"/>
      <c r="E92" s="64"/>
      <c r="F92" s="64"/>
      <c r="G92" s="64"/>
      <c r="H92" s="64"/>
      <c r="I92" s="64"/>
      <c r="J92" s="64"/>
      <c r="K92" s="64"/>
      <c r="L92" s="64"/>
      <c r="M92" s="64"/>
      <c r="N92" s="63"/>
      <c r="O92" s="63"/>
    </row>
    <row r="93" spans="1:15" ht="16.5" customHeight="1" thickTop="1" x14ac:dyDescent="0.25">
      <c r="A93" s="77" t="s">
        <v>12</v>
      </c>
      <c r="B93" s="74"/>
      <c r="C93" s="74"/>
      <c r="D93" s="74"/>
      <c r="E93" s="74"/>
      <c r="F93" s="74"/>
      <c r="G93" s="74"/>
      <c r="H93" s="74"/>
      <c r="I93" s="74"/>
      <c r="J93" s="74"/>
      <c r="K93" s="74"/>
      <c r="L93" s="74"/>
      <c r="M93" s="74"/>
      <c r="N93" s="75"/>
      <c r="O93" s="75"/>
    </row>
    <row r="94" spans="1:15" ht="16.5" customHeight="1" x14ac:dyDescent="0.25">
      <c r="A94" s="57" t="s">
        <v>110</v>
      </c>
      <c r="B94" s="71">
        <f>SUMIFS(RegisterChk[Withdrawal (-)],RegisterChk[Transaction Month],"=" &amp;B$2,RegisterChk[Transaction Year],"="&amp;$C$1,RegisterChk[Category],"=" &amp;$A93)</f>
        <v>0</v>
      </c>
      <c r="C94" s="71">
        <f>SUMIFS(RegisterChk[Withdrawal (-)],RegisterChk[Transaction Month],"=" &amp;C$2,RegisterChk[Transaction Year],"="&amp;$C$1,RegisterChk[Category],"=" &amp;$A93)</f>
        <v>0</v>
      </c>
      <c r="D94" s="71">
        <f>SUMIFS(RegisterChk[Withdrawal (-)],RegisterChk[Transaction Month],"=" &amp;D$2,RegisterChk[Transaction Year],"="&amp;$C$1,RegisterChk[Category],"=" &amp;$A93)</f>
        <v>0</v>
      </c>
      <c r="E94" s="71">
        <f>SUMIFS(RegisterChk[Withdrawal (-)],RegisterChk[Transaction Month],"=" &amp;E$2,RegisterChk[Transaction Year],"="&amp;$C$1,RegisterChk[Category],"=" &amp;$A93)</f>
        <v>0</v>
      </c>
      <c r="F94" s="71">
        <f>SUMIFS(RegisterChk[Withdrawal (-)],RegisterChk[Transaction Month],"=" &amp;F$2,RegisterChk[Transaction Year],"="&amp;$C$1,RegisterChk[Category],"=" &amp;$A93)</f>
        <v>0</v>
      </c>
      <c r="G94" s="71">
        <f>SUMIFS(RegisterChk[Withdrawal (-)],RegisterChk[Transaction Month],"=" &amp;G$2,RegisterChk[Transaction Year],"="&amp;$C$1,RegisterChk[Category],"=" &amp;$A93)</f>
        <v>0</v>
      </c>
      <c r="H94" s="71">
        <f>SUMIFS(RegisterChk[Withdrawal (-)],RegisterChk[Transaction Month],"=" &amp;H$2,RegisterChk[Transaction Year],"="&amp;$C$1,RegisterChk[Category],"=" &amp;$A93)</f>
        <v>0</v>
      </c>
      <c r="I94" s="71">
        <f>SUMIFS(RegisterChk[Withdrawal (-)],RegisterChk[Transaction Month],"=" &amp;I$2,RegisterChk[Transaction Year],"="&amp;$C$1,RegisterChk[Category],"=" &amp;$A93)</f>
        <v>0</v>
      </c>
      <c r="J94" s="71">
        <f>SUMIFS(RegisterChk[Withdrawal (-)],RegisterChk[Transaction Month],"=" &amp;J$2,RegisterChk[Transaction Year],"="&amp;$C$1,RegisterChk[Category],"=" &amp;$A93)</f>
        <v>0</v>
      </c>
      <c r="K94" s="71">
        <f>SUMIFS(RegisterChk[Withdrawal (-)],RegisterChk[Transaction Month],"=" &amp;K$2,RegisterChk[Transaction Year],"="&amp;$C$1,RegisterChk[Category],"=" &amp;$A93)</f>
        <v>0</v>
      </c>
      <c r="L94" s="71">
        <f>SUMIFS(RegisterChk[Withdrawal (-)],RegisterChk[Transaction Month],"=" &amp;L$2,RegisterChk[Transaction Year],"="&amp;$C$1,RegisterChk[Category],"=" &amp;$A93)</f>
        <v>0</v>
      </c>
      <c r="M94" s="71">
        <f>SUMIFS(RegisterChk[Withdrawal (-)],RegisterChk[Transaction Month],"=" &amp;M$2,RegisterChk[Transaction Year],"="&amp;$C$1,RegisterChk[Category],"=" &amp;$A93)</f>
        <v>0</v>
      </c>
      <c r="N94" s="72">
        <f>SUM(tblExpenseCategory_12[[#This Row],[jan]:[dec]])</f>
        <v>0</v>
      </c>
      <c r="O94" s="72">
        <f t="shared" ref="O94:O96" ca="1" si="23">SUM(B94:M94)/MONTH(NOW())</f>
        <v>0</v>
      </c>
    </row>
    <row r="95" spans="1:15" ht="16.5" customHeight="1" x14ac:dyDescent="0.25">
      <c r="A95" s="57" t="s">
        <v>111</v>
      </c>
      <c r="B95" s="71">
        <f>SUMIFS(RegisterChk[Withdrawal (-)],RegisterChk[Transaction Month],"=" &amp;B$2,RegisterChk[Transaction Year],"="&amp;$C$1,RegisterChk[Category],"=" &amp;$A94)</f>
        <v>0</v>
      </c>
      <c r="C95" s="71">
        <f>SUMIFS(RegisterChk[Withdrawal (-)],RegisterChk[Transaction Month],"=" &amp;C$2,RegisterChk[Transaction Year],"="&amp;$C$1,RegisterChk[Category],"=" &amp;$A94)</f>
        <v>0</v>
      </c>
      <c r="D95" s="71">
        <f>SUMIFS(RegisterChk[Withdrawal (-)],RegisterChk[Transaction Month],"=" &amp;D$2,RegisterChk[Transaction Year],"="&amp;$C$1,RegisterChk[Category],"=" &amp;$A94)</f>
        <v>0</v>
      </c>
      <c r="E95" s="71">
        <f>SUMIFS(RegisterChk[Withdrawal (-)],RegisterChk[Transaction Month],"=" &amp;E$2,RegisterChk[Transaction Year],"="&amp;$C$1,RegisterChk[Category],"=" &amp;$A94)</f>
        <v>0</v>
      </c>
      <c r="F95" s="71">
        <f>SUMIFS(RegisterChk[Withdrawal (-)],RegisterChk[Transaction Month],"=" &amp;F$2,RegisterChk[Transaction Year],"="&amp;$C$1,RegisterChk[Category],"=" &amp;$A94)</f>
        <v>0</v>
      </c>
      <c r="G95" s="71">
        <f>SUMIFS(RegisterChk[Withdrawal (-)],RegisterChk[Transaction Month],"=" &amp;G$2,RegisterChk[Transaction Year],"="&amp;$C$1,RegisterChk[Category],"=" &amp;$A94)</f>
        <v>0</v>
      </c>
      <c r="H95" s="71">
        <f>SUMIFS(RegisterChk[Withdrawal (-)],RegisterChk[Transaction Month],"=" &amp;H$2,RegisterChk[Transaction Year],"="&amp;$C$1,RegisterChk[Category],"=" &amp;$A94)</f>
        <v>0</v>
      </c>
      <c r="I95" s="71">
        <f>SUMIFS(RegisterChk[Withdrawal (-)],RegisterChk[Transaction Month],"=" &amp;I$2,RegisterChk[Transaction Year],"="&amp;$C$1,RegisterChk[Category],"=" &amp;$A94)</f>
        <v>0</v>
      </c>
      <c r="J95" s="71">
        <f>SUMIFS(RegisterChk[Withdrawal (-)],RegisterChk[Transaction Month],"=" &amp;J$2,RegisterChk[Transaction Year],"="&amp;$C$1,RegisterChk[Category],"=" &amp;$A94)</f>
        <v>0</v>
      </c>
      <c r="K95" s="71">
        <f>SUMIFS(RegisterChk[Withdrawal (-)],RegisterChk[Transaction Month],"=" &amp;K$2,RegisterChk[Transaction Year],"="&amp;$C$1,RegisterChk[Category],"=" &amp;$A94)</f>
        <v>0</v>
      </c>
      <c r="L95" s="71">
        <f>SUMIFS(RegisterChk[Withdrawal (-)],RegisterChk[Transaction Month],"=" &amp;L$2,RegisterChk[Transaction Year],"="&amp;$C$1,RegisterChk[Category],"=" &amp;$A94)</f>
        <v>0</v>
      </c>
      <c r="M95" s="71">
        <f>SUMIFS(RegisterChk[Withdrawal (-)],RegisterChk[Transaction Month],"=" &amp;M$2,RegisterChk[Transaction Year],"="&amp;$C$1,RegisterChk[Category],"=" &amp;$A94)</f>
        <v>0</v>
      </c>
      <c r="N95" s="72">
        <f>SUM(tblExpenseCategory_12[[#This Row],[jan]:[dec]])</f>
        <v>0</v>
      </c>
      <c r="O95" s="72">
        <f t="shared" ca="1" si="23"/>
        <v>0</v>
      </c>
    </row>
    <row r="96" spans="1:15" ht="16.5" customHeight="1" x14ac:dyDescent="0.25">
      <c r="A96" s="57" t="s">
        <v>112</v>
      </c>
      <c r="B96" s="71">
        <f>SUMIFS(RegisterChk[Withdrawal (-)],RegisterChk[Transaction Month],"=" &amp;B$2,RegisterChk[Transaction Year],"="&amp;$C$1,RegisterChk[Category],"=" &amp;$A95)</f>
        <v>0</v>
      </c>
      <c r="C96" s="71">
        <f>SUMIFS(RegisterChk[Withdrawal (-)],RegisterChk[Transaction Month],"=" &amp;C$2,RegisterChk[Transaction Year],"="&amp;$C$1,RegisterChk[Category],"=" &amp;$A95)</f>
        <v>0</v>
      </c>
      <c r="D96" s="71">
        <f>SUMIFS(RegisterChk[Withdrawal (-)],RegisterChk[Transaction Month],"=" &amp;D$2,RegisterChk[Transaction Year],"="&amp;$C$1,RegisterChk[Category],"=" &amp;$A95)</f>
        <v>0</v>
      </c>
      <c r="E96" s="71">
        <f>SUMIFS(RegisterChk[Withdrawal (-)],RegisterChk[Transaction Month],"=" &amp;E$2,RegisterChk[Transaction Year],"="&amp;$C$1,RegisterChk[Category],"=" &amp;$A95)</f>
        <v>0</v>
      </c>
      <c r="F96" s="71">
        <f>SUMIFS(RegisterChk[Withdrawal (-)],RegisterChk[Transaction Month],"=" &amp;F$2,RegisterChk[Transaction Year],"="&amp;$C$1,RegisterChk[Category],"=" &amp;$A95)</f>
        <v>0</v>
      </c>
      <c r="G96" s="71">
        <f>SUMIFS(RegisterChk[Withdrawal (-)],RegisterChk[Transaction Month],"=" &amp;G$2,RegisterChk[Transaction Year],"="&amp;$C$1,RegisterChk[Category],"=" &amp;$A95)</f>
        <v>0</v>
      </c>
      <c r="H96" s="71">
        <f>SUMIFS(RegisterChk[Withdrawal (-)],RegisterChk[Transaction Month],"=" &amp;H$2,RegisterChk[Transaction Year],"="&amp;$C$1,RegisterChk[Category],"=" &amp;$A95)</f>
        <v>0</v>
      </c>
      <c r="I96" s="71">
        <f>SUMIFS(RegisterChk[Withdrawal (-)],RegisterChk[Transaction Month],"=" &amp;I$2,RegisterChk[Transaction Year],"="&amp;$C$1,RegisterChk[Category],"=" &amp;$A95)</f>
        <v>0</v>
      </c>
      <c r="J96" s="71">
        <f>SUMIFS(RegisterChk[Withdrawal (-)],RegisterChk[Transaction Month],"=" &amp;J$2,RegisterChk[Transaction Year],"="&amp;$C$1,RegisterChk[Category],"=" &amp;$A95)</f>
        <v>0</v>
      </c>
      <c r="K96" s="71">
        <f>SUMIFS(RegisterChk[Withdrawal (-)],RegisterChk[Transaction Month],"=" &amp;K$2,RegisterChk[Transaction Year],"="&amp;$C$1,RegisterChk[Category],"=" &amp;$A95)</f>
        <v>0</v>
      </c>
      <c r="L96" s="71">
        <f>SUMIFS(RegisterChk[Withdrawal (-)],RegisterChk[Transaction Month],"=" &amp;L$2,RegisterChk[Transaction Year],"="&amp;$C$1,RegisterChk[Category],"=" &amp;$A95)</f>
        <v>0</v>
      </c>
      <c r="M96" s="71">
        <f>SUMIFS(RegisterChk[Withdrawal (-)],RegisterChk[Transaction Month],"=" &amp;M$2,RegisterChk[Transaction Year],"="&amp;$C$1,RegisterChk[Category],"=" &amp;$A95)</f>
        <v>0</v>
      </c>
      <c r="N96" s="72">
        <f>SUM(tblExpenseCategory_12[[#This Row],[jan]:[dec]])</f>
        <v>0</v>
      </c>
      <c r="O96" s="72">
        <f t="shared" ca="1" si="23"/>
        <v>0</v>
      </c>
    </row>
    <row r="97" spans="1:15" ht="16.5" customHeight="1" x14ac:dyDescent="0.25">
      <c r="A97" s="122" t="str">
        <f>UPPER("Total " &amp; A93)</f>
        <v>TOTAL OTHER</v>
      </c>
      <c r="B97" s="123">
        <f>SUM(tblExpenseCategory_12[jan])</f>
        <v>0</v>
      </c>
      <c r="C97" s="123">
        <f>SUM(tblExpenseCategory_12[feb])</f>
        <v>0</v>
      </c>
      <c r="D97" s="123">
        <f>SUM(tblExpenseCategory_12[mar])</f>
        <v>0</v>
      </c>
      <c r="E97" s="123">
        <f>SUM(tblExpenseCategory_12[apr])</f>
        <v>0</v>
      </c>
      <c r="F97" s="123">
        <f>SUM(tblExpenseCategory_12[may])</f>
        <v>0</v>
      </c>
      <c r="G97" s="123">
        <f>SUM(tblExpenseCategory_12[jun])</f>
        <v>0</v>
      </c>
      <c r="H97" s="123">
        <f>SUM(tblExpenseCategory_12[jul])</f>
        <v>0</v>
      </c>
      <c r="I97" s="123">
        <f>SUM(tblExpenseCategory_12[aug])</f>
        <v>0</v>
      </c>
      <c r="J97" s="123">
        <f>SUM(tblExpenseCategory_12[sep])</f>
        <v>0</v>
      </c>
      <c r="K97" s="123">
        <f>SUM(tblExpenseCategory_12[oct])</f>
        <v>0</v>
      </c>
      <c r="L97" s="123">
        <f>SUM(tblExpenseCategory_12[nov])</f>
        <v>0</v>
      </c>
      <c r="M97" s="123">
        <f>SUM(tblExpenseCategory_12[dec])</f>
        <v>0</v>
      </c>
      <c r="N97" s="124">
        <f>SUM(tblExpenseCategory_12[year])</f>
        <v>0</v>
      </c>
      <c r="O97" s="124">
        <f t="shared" ref="O97" ca="1" si="24">SUM(B97:M97)/MONTH(NOW())</f>
        <v>0</v>
      </c>
    </row>
    <row r="98" spans="1:15" ht="16.5" customHeight="1" x14ac:dyDescent="0.25">
      <c r="A98" s="133"/>
      <c r="B98" s="133"/>
      <c r="C98" s="133"/>
      <c r="D98" s="133"/>
      <c r="E98" s="133"/>
      <c r="F98" s="133"/>
      <c r="G98" s="133"/>
      <c r="H98" s="133"/>
      <c r="I98" s="133"/>
      <c r="J98" s="133"/>
      <c r="K98" s="133"/>
      <c r="L98" s="133"/>
      <c r="M98" s="133"/>
      <c r="N98" s="63"/>
      <c r="O98" s="63"/>
    </row>
    <row r="99" spans="1:15" ht="16.5" customHeight="1" thickBot="1" x14ac:dyDescent="0.3">
      <c r="A99" s="58"/>
      <c r="B99" s="64"/>
      <c r="C99" s="64"/>
      <c r="D99" s="64"/>
      <c r="E99" s="64"/>
      <c r="F99" s="64"/>
      <c r="G99" s="64"/>
      <c r="H99" s="64"/>
      <c r="I99" s="64"/>
      <c r="J99" s="64"/>
      <c r="K99" s="64"/>
      <c r="L99" s="64"/>
      <c r="M99" s="64"/>
      <c r="N99" s="63"/>
      <c r="O99" s="63"/>
    </row>
    <row r="100" spans="1:15" ht="16.5" customHeight="1" thickTop="1" x14ac:dyDescent="0.25">
      <c r="A100" s="77" t="s">
        <v>82</v>
      </c>
      <c r="B100" s="65"/>
      <c r="C100" s="65"/>
      <c r="D100" s="65"/>
      <c r="E100" s="65"/>
      <c r="F100" s="65"/>
      <c r="G100" s="65"/>
      <c r="H100" s="65"/>
      <c r="I100" s="65"/>
      <c r="J100" s="65"/>
      <c r="K100" s="65"/>
      <c r="L100" s="65"/>
      <c r="M100" s="65"/>
      <c r="N100" s="66"/>
      <c r="O100" s="66"/>
    </row>
    <row r="101" spans="1:15" ht="16.5" customHeight="1" x14ac:dyDescent="0.25">
      <c r="A101" s="57"/>
      <c r="B101" s="71">
        <f>SUMIFS(RegisterChk[Withdrawal (-)],RegisterChk[Transaction Month],"=" &amp;B$2,RegisterChk[Transaction Year],"="&amp;$C$1,RegisterChk[Category],"=" &amp;$A100)</f>
        <v>0</v>
      </c>
      <c r="C101" s="71">
        <f>SUMIFS(RegisterChk[Withdrawal (-)],RegisterChk[Transaction Month],"=" &amp;C$2,RegisterChk[Transaction Year],"="&amp;$C$1,RegisterChk[Category],"=" &amp;$A100)</f>
        <v>0</v>
      </c>
      <c r="D101" s="71">
        <f>SUMIFS(RegisterChk[Withdrawal (-)],RegisterChk[Transaction Month],"=" &amp;D$2,RegisterChk[Transaction Year],"="&amp;$C$1,RegisterChk[Category],"=" &amp;$A100)</f>
        <v>0</v>
      </c>
      <c r="E101" s="71">
        <f>SUMIFS(RegisterChk[Withdrawal (-)],RegisterChk[Transaction Month],"=" &amp;E$2,RegisterChk[Transaction Year],"="&amp;$C$1,RegisterChk[Category],"=" &amp;$A100)</f>
        <v>0</v>
      </c>
      <c r="F101" s="71">
        <f>SUMIFS(RegisterChk[Withdrawal (-)],RegisterChk[Transaction Month],"=" &amp;F$2,RegisterChk[Transaction Year],"="&amp;$C$1,RegisterChk[Category],"=" &amp;$A100)</f>
        <v>0</v>
      </c>
      <c r="G101" s="71">
        <f>SUMIFS(RegisterChk[Withdrawal (-)],RegisterChk[Transaction Month],"=" &amp;G$2,RegisterChk[Transaction Year],"="&amp;$C$1,RegisterChk[Category],"=" &amp;$A100)</f>
        <v>0</v>
      </c>
      <c r="H101" s="71">
        <f>SUMIFS(RegisterChk[Withdrawal (-)],RegisterChk[Transaction Month],"=" &amp;H$2,RegisterChk[Transaction Year],"="&amp;$C$1,RegisterChk[Category],"=" &amp;$A100)</f>
        <v>0</v>
      </c>
      <c r="I101" s="71">
        <f>SUMIFS(RegisterChk[Withdrawal (-)],RegisterChk[Transaction Month],"=" &amp;I$2,RegisterChk[Transaction Year],"="&amp;$C$1,RegisterChk[Category],"=" &amp;$A100)</f>
        <v>0</v>
      </c>
      <c r="J101" s="71">
        <f>SUMIFS(RegisterChk[Withdrawal (-)],RegisterChk[Transaction Month],"=" &amp;J$2,RegisterChk[Transaction Year],"="&amp;$C$1,RegisterChk[Category],"=" &amp;$A100)</f>
        <v>0</v>
      </c>
      <c r="K101" s="71">
        <f>SUMIFS(RegisterChk[Withdrawal (-)],RegisterChk[Transaction Month],"=" &amp;K$2,RegisterChk[Transaction Year],"="&amp;$C$1,RegisterChk[Category],"=" &amp;$A100)</f>
        <v>0</v>
      </c>
      <c r="L101" s="71">
        <f>SUMIFS(RegisterChk[Withdrawal (-)],RegisterChk[Transaction Month],"=" &amp;L$2,RegisterChk[Transaction Year],"="&amp;$C$1,RegisterChk[Category],"=" &amp;$A100)</f>
        <v>0</v>
      </c>
      <c r="M101" s="71">
        <f>SUMIFS(RegisterChk[Withdrawal (-)],RegisterChk[Transaction Month],"=" &amp;M$2,RegisterChk[Transaction Year],"="&amp;$C$1,RegisterChk[Category],"=" &amp;$A100)</f>
        <v>0</v>
      </c>
      <c r="N101" s="72">
        <f>SUM(tblExpenseCategory_13[[#This Row],[jan]:[dec]])</f>
        <v>0</v>
      </c>
      <c r="O101" s="72">
        <f t="shared" ref="O101:O103" ca="1" si="25">SUM(B101:M101)/MONTH(NOW())</f>
        <v>0</v>
      </c>
    </row>
    <row r="102" spans="1:15" ht="16.5" customHeight="1" x14ac:dyDescent="0.25">
      <c r="A102" s="57"/>
      <c r="B102" s="71">
        <f>SUMIFS(RegisterChk[Withdrawal (-)],RegisterChk[Transaction Month],"=" &amp;B$2,RegisterChk[Transaction Year],"="&amp;$C$1,RegisterChk[Category],"=" &amp;$A101)</f>
        <v>0</v>
      </c>
      <c r="C102" s="71">
        <f>SUMIFS(RegisterChk[Withdrawal (-)],RegisterChk[Transaction Month],"=" &amp;C$2,RegisterChk[Transaction Year],"="&amp;$C$1,RegisterChk[Category],"=" &amp;$A101)</f>
        <v>0</v>
      </c>
      <c r="D102" s="71">
        <f>SUMIFS(RegisterChk[Withdrawal (-)],RegisterChk[Transaction Month],"=" &amp;D$2,RegisterChk[Transaction Year],"="&amp;$C$1,RegisterChk[Category],"=" &amp;$A101)</f>
        <v>0</v>
      </c>
      <c r="E102" s="71">
        <f>SUMIFS(RegisterChk[Withdrawal (-)],RegisterChk[Transaction Month],"=" &amp;E$2,RegisterChk[Transaction Year],"="&amp;$C$1,RegisterChk[Category],"=" &amp;$A101)</f>
        <v>0</v>
      </c>
      <c r="F102" s="71">
        <f>SUMIFS(RegisterChk[Withdrawal (-)],RegisterChk[Transaction Month],"=" &amp;F$2,RegisterChk[Transaction Year],"="&amp;$C$1,RegisterChk[Category],"=" &amp;$A101)</f>
        <v>0</v>
      </c>
      <c r="G102" s="71">
        <f>SUMIFS(RegisterChk[Withdrawal (-)],RegisterChk[Transaction Month],"=" &amp;G$2,RegisterChk[Transaction Year],"="&amp;$C$1,RegisterChk[Category],"=" &amp;$A101)</f>
        <v>0</v>
      </c>
      <c r="H102" s="71">
        <f>SUMIFS(RegisterChk[Withdrawal (-)],RegisterChk[Transaction Month],"=" &amp;H$2,RegisterChk[Transaction Year],"="&amp;$C$1,RegisterChk[Category],"=" &amp;$A101)</f>
        <v>0</v>
      </c>
      <c r="I102" s="71">
        <f>SUMIFS(RegisterChk[Withdrawal (-)],RegisterChk[Transaction Month],"=" &amp;I$2,RegisterChk[Transaction Year],"="&amp;$C$1,RegisterChk[Category],"=" &amp;$A101)</f>
        <v>0</v>
      </c>
      <c r="J102" s="71">
        <f>SUMIFS(RegisterChk[Withdrawal (-)],RegisterChk[Transaction Month],"=" &amp;J$2,RegisterChk[Transaction Year],"="&amp;$C$1,RegisterChk[Category],"=" &amp;$A101)</f>
        <v>0</v>
      </c>
      <c r="K102" s="71">
        <f>SUMIFS(RegisterChk[Withdrawal (-)],RegisterChk[Transaction Month],"=" &amp;K$2,RegisterChk[Transaction Year],"="&amp;$C$1,RegisterChk[Category],"=" &amp;$A101)</f>
        <v>0</v>
      </c>
      <c r="L102" s="71">
        <f>SUMIFS(RegisterChk[Withdrawal (-)],RegisterChk[Transaction Month],"=" &amp;L$2,RegisterChk[Transaction Year],"="&amp;$C$1,RegisterChk[Category],"=" &amp;$A101)</f>
        <v>0</v>
      </c>
      <c r="M102" s="71">
        <f>SUMIFS(RegisterChk[Withdrawal (-)],RegisterChk[Transaction Month],"=" &amp;M$2,RegisterChk[Transaction Year],"="&amp;$C$1,RegisterChk[Category],"=" &amp;$A101)</f>
        <v>0</v>
      </c>
      <c r="N102" s="72">
        <f>SUM(tblExpenseCategory_13[[#This Row],[jan]:[dec]])</f>
        <v>0</v>
      </c>
      <c r="O102" s="72">
        <f t="shared" ca="1" si="25"/>
        <v>0</v>
      </c>
    </row>
    <row r="103" spans="1:15" ht="16.5" customHeight="1" x14ac:dyDescent="0.25">
      <c r="A103" s="57"/>
      <c r="B103" s="71">
        <f>SUMIFS(RegisterChk[Withdrawal (-)],RegisterChk[Transaction Month],"=" &amp;B$2,RegisterChk[Transaction Year],"="&amp;$C$1,RegisterChk[Category],"=" &amp;$A102)</f>
        <v>0</v>
      </c>
      <c r="C103" s="71">
        <f>SUMIFS(RegisterChk[Withdrawal (-)],RegisterChk[Transaction Month],"=" &amp;C$2,RegisterChk[Transaction Year],"="&amp;$C$1,RegisterChk[Category],"=" &amp;$A102)</f>
        <v>0</v>
      </c>
      <c r="D103" s="71">
        <f>SUMIFS(RegisterChk[Withdrawal (-)],RegisterChk[Transaction Month],"=" &amp;D$2,RegisterChk[Transaction Year],"="&amp;$C$1,RegisterChk[Category],"=" &amp;$A102)</f>
        <v>0</v>
      </c>
      <c r="E103" s="71">
        <f>SUMIFS(RegisterChk[Withdrawal (-)],RegisterChk[Transaction Month],"=" &amp;E$2,RegisterChk[Transaction Year],"="&amp;$C$1,RegisterChk[Category],"=" &amp;$A102)</f>
        <v>0</v>
      </c>
      <c r="F103" s="71">
        <f>SUMIFS(RegisterChk[Withdrawal (-)],RegisterChk[Transaction Month],"=" &amp;F$2,RegisterChk[Transaction Year],"="&amp;$C$1,RegisterChk[Category],"=" &amp;$A102)</f>
        <v>0</v>
      </c>
      <c r="G103" s="71">
        <f>SUMIFS(RegisterChk[Withdrawal (-)],RegisterChk[Transaction Month],"=" &amp;G$2,RegisterChk[Transaction Year],"="&amp;$C$1,RegisterChk[Category],"=" &amp;$A102)</f>
        <v>0</v>
      </c>
      <c r="H103" s="71">
        <f>SUMIFS(RegisterChk[Withdrawal (-)],RegisterChk[Transaction Month],"=" &amp;H$2,RegisterChk[Transaction Year],"="&amp;$C$1,RegisterChk[Category],"=" &amp;$A102)</f>
        <v>0</v>
      </c>
      <c r="I103" s="71">
        <f>SUMIFS(RegisterChk[Withdrawal (-)],RegisterChk[Transaction Month],"=" &amp;I$2,RegisterChk[Transaction Year],"="&amp;$C$1,RegisterChk[Category],"=" &amp;$A102)</f>
        <v>0</v>
      </c>
      <c r="J103" s="71">
        <f>SUMIFS(RegisterChk[Withdrawal (-)],RegisterChk[Transaction Month],"=" &amp;J$2,RegisterChk[Transaction Year],"="&amp;$C$1,RegisterChk[Category],"=" &amp;$A102)</f>
        <v>0</v>
      </c>
      <c r="K103" s="71">
        <f>SUMIFS(RegisterChk[Withdrawal (-)],RegisterChk[Transaction Month],"=" &amp;K$2,RegisterChk[Transaction Year],"="&amp;$C$1,RegisterChk[Category],"=" &amp;$A102)</f>
        <v>0</v>
      </c>
      <c r="L103" s="71">
        <f>SUMIFS(RegisterChk[Withdrawal (-)],RegisterChk[Transaction Month],"=" &amp;L$2,RegisterChk[Transaction Year],"="&amp;$C$1,RegisterChk[Category],"=" &amp;$A102)</f>
        <v>0</v>
      </c>
      <c r="M103" s="71">
        <f>SUMIFS(RegisterChk[Withdrawal (-)],RegisterChk[Transaction Month],"=" &amp;M$2,RegisterChk[Transaction Year],"="&amp;$C$1,RegisterChk[Category],"=" &amp;$A102)</f>
        <v>0</v>
      </c>
      <c r="N103" s="72">
        <f>SUM(tblExpenseCategory_13[[#This Row],[jan]:[dec]])</f>
        <v>0</v>
      </c>
      <c r="O103" s="72">
        <f t="shared" ca="1" si="25"/>
        <v>0</v>
      </c>
    </row>
    <row r="104" spans="1:15" ht="16.5" customHeight="1" x14ac:dyDescent="0.25">
      <c r="A104" s="116" t="str">
        <f>UPPER("Total " &amp; A100)</f>
        <v xml:space="preserve">TOTAL  </v>
      </c>
      <c r="B104" s="117">
        <f>SUM(tblExpenseCategory_13[jan])</f>
        <v>0</v>
      </c>
      <c r="C104" s="117">
        <f>SUM(tblExpenseCategory_13[feb])</f>
        <v>0</v>
      </c>
      <c r="D104" s="117">
        <f>SUM(tblExpenseCategory_13[mar])</f>
        <v>0</v>
      </c>
      <c r="E104" s="117">
        <f>SUM(tblExpenseCategory_13[apr])</f>
        <v>0</v>
      </c>
      <c r="F104" s="117">
        <f>SUM(tblExpenseCategory_13[may])</f>
        <v>0</v>
      </c>
      <c r="G104" s="117">
        <f>SUM(tblExpenseCategory_13[jun])</f>
        <v>0</v>
      </c>
      <c r="H104" s="117">
        <f>SUM(tblExpenseCategory_13[jul])</f>
        <v>0</v>
      </c>
      <c r="I104" s="117">
        <f>SUM(tblExpenseCategory_13[aug])</f>
        <v>0</v>
      </c>
      <c r="J104" s="117">
        <f>SUM(tblExpenseCategory_13[sep])</f>
        <v>0</v>
      </c>
      <c r="K104" s="117">
        <f>SUM(tblExpenseCategory_13[oct])</f>
        <v>0</v>
      </c>
      <c r="L104" s="117">
        <f>SUM(tblExpenseCategory_13[nov])</f>
        <v>0</v>
      </c>
      <c r="M104" s="117">
        <f>SUM(tblExpenseCategory_13[dec])</f>
        <v>0</v>
      </c>
      <c r="N104" s="118">
        <f>SUM(tblExpenseCategory_13[year])</f>
        <v>0</v>
      </c>
      <c r="O104" s="118">
        <f t="shared" ref="O104" ca="1" si="26">SUM(B104:M104)/MONTH(NOW())</f>
        <v>0</v>
      </c>
    </row>
    <row r="105" spans="1:15" ht="16.5" customHeight="1" x14ac:dyDescent="0.25">
      <c r="A105" s="133"/>
      <c r="B105" s="133"/>
      <c r="C105" s="133"/>
      <c r="D105" s="133"/>
      <c r="E105" s="133"/>
      <c r="F105" s="133"/>
      <c r="G105" s="133"/>
      <c r="H105" s="133"/>
      <c r="I105" s="133"/>
      <c r="J105" s="133"/>
      <c r="K105" s="133"/>
      <c r="L105" s="133"/>
      <c r="M105" s="133"/>
      <c r="N105" s="63"/>
      <c r="O105" s="63"/>
    </row>
    <row r="106" spans="1:15" ht="16.5" customHeight="1" thickBot="1" x14ac:dyDescent="0.3">
      <c r="A106" s="58"/>
      <c r="B106" s="64"/>
      <c r="C106" s="64"/>
      <c r="D106" s="64"/>
      <c r="E106" s="64"/>
      <c r="F106" s="64"/>
      <c r="G106" s="64"/>
      <c r="H106" s="64"/>
      <c r="I106" s="64"/>
      <c r="J106" s="64"/>
      <c r="K106" s="64"/>
      <c r="L106" s="64"/>
      <c r="M106" s="64"/>
      <c r="N106" s="63"/>
      <c r="O106" s="63"/>
    </row>
    <row r="107" spans="1:15" ht="16.5" customHeight="1" thickTop="1" x14ac:dyDescent="0.25">
      <c r="A107" s="77" t="s">
        <v>82</v>
      </c>
      <c r="B107" s="65"/>
      <c r="C107" s="65"/>
      <c r="D107" s="65"/>
      <c r="E107" s="65"/>
      <c r="F107" s="65"/>
      <c r="G107" s="65"/>
      <c r="H107" s="65"/>
      <c r="I107" s="65"/>
      <c r="J107" s="65"/>
      <c r="K107" s="65"/>
      <c r="L107" s="65"/>
      <c r="M107" s="65"/>
      <c r="N107" s="66"/>
      <c r="O107" s="66"/>
    </row>
    <row r="108" spans="1:15" ht="16.5" customHeight="1" x14ac:dyDescent="0.25">
      <c r="A108" s="57"/>
      <c r="B108" s="71">
        <f>SUMIFS(RegisterChk[Withdrawal (-)],RegisterChk[Transaction Month],"=" &amp;B$2,RegisterChk[Transaction Year],"="&amp;$C$1,RegisterChk[Category],"=" &amp;$A107)</f>
        <v>0</v>
      </c>
      <c r="C108" s="71">
        <f>SUMIFS(RegisterChk[Withdrawal (-)],RegisterChk[Transaction Month],"=" &amp;C$2,RegisterChk[Transaction Year],"="&amp;$C$1,RegisterChk[Category],"=" &amp;$A107)</f>
        <v>0</v>
      </c>
      <c r="D108" s="71">
        <f>SUMIFS(RegisterChk[Withdrawal (-)],RegisterChk[Transaction Month],"=" &amp;D$2,RegisterChk[Transaction Year],"="&amp;$C$1,RegisterChk[Category],"=" &amp;$A107)</f>
        <v>0</v>
      </c>
      <c r="E108" s="71">
        <f>SUMIFS(RegisterChk[Withdrawal (-)],RegisterChk[Transaction Month],"=" &amp;E$2,RegisterChk[Transaction Year],"="&amp;$C$1,RegisterChk[Category],"=" &amp;$A107)</f>
        <v>0</v>
      </c>
      <c r="F108" s="71">
        <f>SUMIFS(RegisterChk[Withdrawal (-)],RegisterChk[Transaction Month],"=" &amp;F$2,RegisterChk[Transaction Year],"="&amp;$C$1,RegisterChk[Category],"=" &amp;$A107)</f>
        <v>0</v>
      </c>
      <c r="G108" s="71">
        <f>SUMIFS(RegisterChk[Withdrawal (-)],RegisterChk[Transaction Month],"=" &amp;G$2,RegisterChk[Transaction Year],"="&amp;$C$1,RegisterChk[Category],"=" &amp;$A107)</f>
        <v>0</v>
      </c>
      <c r="H108" s="71">
        <f>SUMIFS(RegisterChk[Withdrawal (-)],RegisterChk[Transaction Month],"=" &amp;H$2,RegisterChk[Transaction Year],"="&amp;$C$1,RegisterChk[Category],"=" &amp;$A107)</f>
        <v>0</v>
      </c>
      <c r="I108" s="71">
        <f>SUMIFS(RegisterChk[Withdrawal (-)],RegisterChk[Transaction Month],"=" &amp;I$2,RegisterChk[Transaction Year],"="&amp;$C$1,RegisterChk[Category],"=" &amp;$A107)</f>
        <v>0</v>
      </c>
      <c r="J108" s="71">
        <f>SUMIFS(RegisterChk[Withdrawal (-)],RegisterChk[Transaction Month],"=" &amp;J$2,RegisterChk[Transaction Year],"="&amp;$C$1,RegisterChk[Category],"=" &amp;$A107)</f>
        <v>0</v>
      </c>
      <c r="K108" s="71">
        <f>SUMIFS(RegisterChk[Withdrawal (-)],RegisterChk[Transaction Month],"=" &amp;K$2,RegisterChk[Transaction Year],"="&amp;$C$1,RegisterChk[Category],"=" &amp;$A107)</f>
        <v>0</v>
      </c>
      <c r="L108" s="71">
        <f>SUMIFS(RegisterChk[Withdrawal (-)],RegisterChk[Transaction Month],"=" &amp;L$2,RegisterChk[Transaction Year],"="&amp;$C$1,RegisterChk[Category],"=" &amp;$A107)</f>
        <v>0</v>
      </c>
      <c r="M108" s="71">
        <f>SUMIFS(RegisterChk[Withdrawal (-)],RegisterChk[Transaction Month],"=" &amp;M$2,RegisterChk[Transaction Year],"="&amp;$C$1,RegisterChk[Category],"=" &amp;$A107)</f>
        <v>0</v>
      </c>
      <c r="N108" s="72">
        <f>SUM(tblExpenseCategory_14[[#This Row],[jan]:[dec]])</f>
        <v>0</v>
      </c>
      <c r="O108" s="72">
        <f t="shared" ref="O108:O110" ca="1" si="27">SUM(B108:M108)/MONTH(NOW())</f>
        <v>0</v>
      </c>
    </row>
    <row r="109" spans="1:15" ht="16.5" customHeight="1" x14ac:dyDescent="0.25">
      <c r="A109" s="57"/>
      <c r="B109" s="71">
        <f>SUMIFS(RegisterChk[Withdrawal (-)],RegisterChk[Transaction Month],"=" &amp;B$2,RegisterChk[Transaction Year],"="&amp;$C$1,RegisterChk[Category],"=" &amp;$A108)</f>
        <v>0</v>
      </c>
      <c r="C109" s="71">
        <f>SUMIFS(RegisterChk[Withdrawal (-)],RegisterChk[Transaction Month],"=" &amp;C$2,RegisterChk[Transaction Year],"="&amp;$C$1,RegisterChk[Category],"=" &amp;$A108)</f>
        <v>0</v>
      </c>
      <c r="D109" s="71">
        <f>SUMIFS(RegisterChk[Withdrawal (-)],RegisterChk[Transaction Month],"=" &amp;D$2,RegisterChk[Transaction Year],"="&amp;$C$1,RegisterChk[Category],"=" &amp;$A108)</f>
        <v>0</v>
      </c>
      <c r="E109" s="71">
        <f>SUMIFS(RegisterChk[Withdrawal (-)],RegisterChk[Transaction Month],"=" &amp;E$2,RegisterChk[Transaction Year],"="&amp;$C$1,RegisterChk[Category],"=" &amp;$A108)</f>
        <v>0</v>
      </c>
      <c r="F109" s="71">
        <f>SUMIFS(RegisterChk[Withdrawal (-)],RegisterChk[Transaction Month],"=" &amp;F$2,RegisterChk[Transaction Year],"="&amp;$C$1,RegisterChk[Category],"=" &amp;$A108)</f>
        <v>0</v>
      </c>
      <c r="G109" s="71">
        <f>SUMIFS(RegisterChk[Withdrawal (-)],RegisterChk[Transaction Month],"=" &amp;G$2,RegisterChk[Transaction Year],"="&amp;$C$1,RegisterChk[Category],"=" &amp;$A108)</f>
        <v>0</v>
      </c>
      <c r="H109" s="71">
        <f>SUMIFS(RegisterChk[Withdrawal (-)],RegisterChk[Transaction Month],"=" &amp;H$2,RegisterChk[Transaction Year],"="&amp;$C$1,RegisterChk[Category],"=" &amp;$A108)</f>
        <v>0</v>
      </c>
      <c r="I109" s="71">
        <f>SUMIFS(RegisterChk[Withdrawal (-)],RegisterChk[Transaction Month],"=" &amp;I$2,RegisterChk[Transaction Year],"="&amp;$C$1,RegisterChk[Category],"=" &amp;$A108)</f>
        <v>0</v>
      </c>
      <c r="J109" s="71">
        <f>SUMIFS(RegisterChk[Withdrawal (-)],RegisterChk[Transaction Month],"=" &amp;J$2,RegisterChk[Transaction Year],"="&amp;$C$1,RegisterChk[Category],"=" &amp;$A108)</f>
        <v>0</v>
      </c>
      <c r="K109" s="71">
        <f>SUMIFS(RegisterChk[Withdrawal (-)],RegisterChk[Transaction Month],"=" &amp;K$2,RegisterChk[Transaction Year],"="&amp;$C$1,RegisterChk[Category],"=" &amp;$A108)</f>
        <v>0</v>
      </c>
      <c r="L109" s="71">
        <f>SUMIFS(RegisterChk[Withdrawal (-)],RegisterChk[Transaction Month],"=" &amp;L$2,RegisterChk[Transaction Year],"="&amp;$C$1,RegisterChk[Category],"=" &amp;$A108)</f>
        <v>0</v>
      </c>
      <c r="M109" s="71">
        <f>SUMIFS(RegisterChk[Withdrawal (-)],RegisterChk[Transaction Month],"=" &amp;M$2,RegisterChk[Transaction Year],"="&amp;$C$1,RegisterChk[Category],"=" &amp;$A108)</f>
        <v>0</v>
      </c>
      <c r="N109" s="72">
        <f>SUM(tblExpenseCategory_14[[#This Row],[jan]:[dec]])</f>
        <v>0</v>
      </c>
      <c r="O109" s="72">
        <f t="shared" ca="1" si="27"/>
        <v>0</v>
      </c>
    </row>
    <row r="110" spans="1:15" ht="16.5" customHeight="1" x14ac:dyDescent="0.25">
      <c r="A110" s="57"/>
      <c r="B110" s="71">
        <f>SUMIFS(RegisterChk[Withdrawal (-)],RegisterChk[Transaction Month],"=" &amp;B$2,RegisterChk[Transaction Year],"="&amp;$C$1,RegisterChk[Category],"=" &amp;$A109)</f>
        <v>0</v>
      </c>
      <c r="C110" s="71">
        <f>SUMIFS(RegisterChk[Withdrawal (-)],RegisterChk[Transaction Month],"=" &amp;C$2,RegisterChk[Transaction Year],"="&amp;$C$1,RegisterChk[Category],"=" &amp;$A109)</f>
        <v>0</v>
      </c>
      <c r="D110" s="71">
        <f>SUMIFS(RegisterChk[Withdrawal (-)],RegisterChk[Transaction Month],"=" &amp;D$2,RegisterChk[Transaction Year],"="&amp;$C$1,RegisterChk[Category],"=" &amp;$A109)</f>
        <v>0</v>
      </c>
      <c r="E110" s="71">
        <f>SUMIFS(RegisterChk[Withdrawal (-)],RegisterChk[Transaction Month],"=" &amp;E$2,RegisterChk[Transaction Year],"="&amp;$C$1,RegisterChk[Category],"=" &amp;$A109)</f>
        <v>0</v>
      </c>
      <c r="F110" s="71">
        <f>SUMIFS(RegisterChk[Withdrawal (-)],RegisterChk[Transaction Month],"=" &amp;F$2,RegisterChk[Transaction Year],"="&amp;$C$1,RegisterChk[Category],"=" &amp;$A109)</f>
        <v>0</v>
      </c>
      <c r="G110" s="71">
        <f>SUMIFS(RegisterChk[Withdrawal (-)],RegisterChk[Transaction Month],"=" &amp;G$2,RegisterChk[Transaction Year],"="&amp;$C$1,RegisterChk[Category],"=" &amp;$A109)</f>
        <v>0</v>
      </c>
      <c r="H110" s="71">
        <f>SUMIFS(RegisterChk[Withdrawal (-)],RegisterChk[Transaction Month],"=" &amp;H$2,RegisterChk[Transaction Year],"="&amp;$C$1,RegisterChk[Category],"=" &amp;$A109)</f>
        <v>0</v>
      </c>
      <c r="I110" s="71">
        <f>SUMIFS(RegisterChk[Withdrawal (-)],RegisterChk[Transaction Month],"=" &amp;I$2,RegisterChk[Transaction Year],"="&amp;$C$1,RegisterChk[Category],"=" &amp;$A109)</f>
        <v>0</v>
      </c>
      <c r="J110" s="71">
        <f>SUMIFS(RegisterChk[Withdrawal (-)],RegisterChk[Transaction Month],"=" &amp;J$2,RegisterChk[Transaction Year],"="&amp;$C$1,RegisterChk[Category],"=" &amp;$A109)</f>
        <v>0</v>
      </c>
      <c r="K110" s="71">
        <f>SUMIFS(RegisterChk[Withdrawal (-)],RegisterChk[Transaction Month],"=" &amp;K$2,RegisterChk[Transaction Year],"="&amp;$C$1,RegisterChk[Category],"=" &amp;$A109)</f>
        <v>0</v>
      </c>
      <c r="L110" s="71">
        <f>SUMIFS(RegisterChk[Withdrawal (-)],RegisterChk[Transaction Month],"=" &amp;L$2,RegisterChk[Transaction Year],"="&amp;$C$1,RegisterChk[Category],"=" &amp;$A109)</f>
        <v>0</v>
      </c>
      <c r="M110" s="71">
        <f>SUMIFS(RegisterChk[Withdrawal (-)],RegisterChk[Transaction Month],"=" &amp;M$2,RegisterChk[Transaction Year],"="&amp;$C$1,RegisterChk[Category],"=" &amp;$A109)</f>
        <v>0</v>
      </c>
      <c r="N110" s="72">
        <f>SUM(tblExpenseCategory_14[[#This Row],[jan]:[dec]])</f>
        <v>0</v>
      </c>
      <c r="O110" s="72">
        <f t="shared" ca="1" si="27"/>
        <v>0</v>
      </c>
    </row>
    <row r="111" spans="1:15" ht="16.5" customHeight="1" x14ac:dyDescent="0.25">
      <c r="A111" s="116" t="str">
        <f>UPPER("Total " &amp; A107)</f>
        <v xml:space="preserve">TOTAL  </v>
      </c>
      <c r="B111" s="117">
        <f>SUM(tblExpenseCategory_14[jan])</f>
        <v>0</v>
      </c>
      <c r="C111" s="117">
        <f>SUM(tblExpenseCategory_14[feb])</f>
        <v>0</v>
      </c>
      <c r="D111" s="117">
        <f>SUM(tblExpenseCategory_14[mar])</f>
        <v>0</v>
      </c>
      <c r="E111" s="117">
        <f>SUM(tblExpenseCategory_14[apr])</f>
        <v>0</v>
      </c>
      <c r="F111" s="117">
        <f>SUM(tblExpenseCategory_14[may])</f>
        <v>0</v>
      </c>
      <c r="G111" s="117">
        <f>SUM(tblExpenseCategory_14[jun])</f>
        <v>0</v>
      </c>
      <c r="H111" s="117">
        <f>SUM(tblExpenseCategory_14[jul])</f>
        <v>0</v>
      </c>
      <c r="I111" s="117">
        <f>SUM(tblExpenseCategory_14[aug])</f>
        <v>0</v>
      </c>
      <c r="J111" s="117">
        <f>SUM(tblExpenseCategory_14[sep])</f>
        <v>0</v>
      </c>
      <c r="K111" s="117">
        <f>SUM(tblExpenseCategory_14[oct])</f>
        <v>0</v>
      </c>
      <c r="L111" s="117">
        <f>SUM(tblExpenseCategory_14[nov])</f>
        <v>0</v>
      </c>
      <c r="M111" s="117">
        <f>SUM(tblExpenseCategory_14[dec])</f>
        <v>0</v>
      </c>
      <c r="N111" s="118">
        <f>SUM(tblExpenseCategory_14[year])</f>
        <v>0</v>
      </c>
      <c r="O111" s="118">
        <f t="shared" ref="O111" ca="1" si="28">SUM(B111:M111)/MONTH(NOW())</f>
        <v>0</v>
      </c>
    </row>
    <row r="112" spans="1:15" ht="16.5" customHeight="1" x14ac:dyDescent="0.25">
      <c r="A112" s="133"/>
      <c r="B112" s="133"/>
      <c r="C112" s="133"/>
      <c r="D112" s="133"/>
      <c r="E112" s="133"/>
      <c r="F112" s="133"/>
      <c r="G112" s="133"/>
      <c r="H112" s="133"/>
      <c r="I112" s="133"/>
      <c r="J112" s="133"/>
      <c r="K112" s="133"/>
      <c r="L112" s="133"/>
      <c r="M112" s="133"/>
      <c r="N112" s="63"/>
      <c r="O112" s="63"/>
    </row>
    <row r="113" spans="1:15" ht="16.5" customHeight="1" thickBot="1" x14ac:dyDescent="0.3">
      <c r="A113" s="58"/>
      <c r="B113" s="64"/>
      <c r="C113" s="64"/>
      <c r="D113" s="64"/>
      <c r="E113" s="64"/>
      <c r="F113" s="64"/>
      <c r="G113" s="64"/>
      <c r="H113" s="64"/>
      <c r="I113" s="64"/>
      <c r="J113" s="64"/>
      <c r="K113" s="64"/>
      <c r="L113" s="64"/>
      <c r="M113" s="64"/>
      <c r="N113" s="63"/>
      <c r="O113" s="63"/>
    </row>
    <row r="114" spans="1:15" ht="16.5" customHeight="1" thickTop="1" x14ac:dyDescent="0.25">
      <c r="A114" s="77" t="s">
        <v>82</v>
      </c>
      <c r="B114" s="65"/>
      <c r="C114" s="65"/>
      <c r="D114" s="65"/>
      <c r="E114" s="65"/>
      <c r="F114" s="65"/>
      <c r="G114" s="65"/>
      <c r="H114" s="65"/>
      <c r="I114" s="65"/>
      <c r="J114" s="65"/>
      <c r="K114" s="65"/>
      <c r="L114" s="65"/>
      <c r="M114" s="65"/>
      <c r="N114" s="66"/>
      <c r="O114" s="66"/>
    </row>
    <row r="115" spans="1:15" ht="16.5" customHeight="1" x14ac:dyDescent="0.25">
      <c r="A115" s="57"/>
      <c r="B115" s="71">
        <f>SUMIFS(RegisterChk[Withdrawal (-)],RegisterChk[Transaction Month],"=" &amp;B$2,RegisterChk[Transaction Year],"="&amp;$C$1,RegisterChk[Category],"=" &amp;$A114)</f>
        <v>0</v>
      </c>
      <c r="C115" s="71">
        <f>SUMIFS(RegisterChk[Withdrawal (-)],RegisterChk[Transaction Month],"=" &amp;C$2,RegisterChk[Transaction Year],"="&amp;$C$1,RegisterChk[Category],"=" &amp;$A114)</f>
        <v>0</v>
      </c>
      <c r="D115" s="71">
        <f>SUMIFS(RegisterChk[Withdrawal (-)],RegisterChk[Transaction Month],"=" &amp;D$2,RegisterChk[Transaction Year],"="&amp;$C$1,RegisterChk[Category],"=" &amp;$A114)</f>
        <v>0</v>
      </c>
      <c r="E115" s="71">
        <f>SUMIFS(RegisterChk[Withdrawal (-)],RegisterChk[Transaction Month],"=" &amp;E$2,RegisterChk[Transaction Year],"="&amp;$C$1,RegisterChk[Category],"=" &amp;$A114)</f>
        <v>0</v>
      </c>
      <c r="F115" s="71">
        <f>SUMIFS(RegisterChk[Withdrawal (-)],RegisterChk[Transaction Month],"=" &amp;F$2,RegisterChk[Transaction Year],"="&amp;$C$1,RegisterChk[Category],"=" &amp;$A114)</f>
        <v>0</v>
      </c>
      <c r="G115" s="71">
        <f>SUMIFS(RegisterChk[Withdrawal (-)],RegisterChk[Transaction Month],"=" &amp;G$2,RegisterChk[Transaction Year],"="&amp;$C$1,RegisterChk[Category],"=" &amp;$A114)</f>
        <v>0</v>
      </c>
      <c r="H115" s="71">
        <f>SUMIFS(RegisterChk[Withdrawal (-)],RegisterChk[Transaction Month],"=" &amp;H$2,RegisterChk[Transaction Year],"="&amp;$C$1,RegisterChk[Category],"=" &amp;$A114)</f>
        <v>0</v>
      </c>
      <c r="I115" s="71">
        <f>SUMIFS(RegisterChk[Withdrawal (-)],RegisterChk[Transaction Month],"=" &amp;I$2,RegisterChk[Transaction Year],"="&amp;$C$1,RegisterChk[Category],"=" &amp;$A114)</f>
        <v>0</v>
      </c>
      <c r="J115" s="71">
        <f>SUMIFS(RegisterChk[Withdrawal (-)],RegisterChk[Transaction Month],"=" &amp;J$2,RegisterChk[Transaction Year],"="&amp;$C$1,RegisterChk[Category],"=" &amp;$A114)</f>
        <v>0</v>
      </c>
      <c r="K115" s="71">
        <f>SUMIFS(RegisterChk[Withdrawal (-)],RegisterChk[Transaction Month],"=" &amp;K$2,RegisterChk[Transaction Year],"="&amp;$C$1,RegisterChk[Category],"=" &amp;$A114)</f>
        <v>0</v>
      </c>
      <c r="L115" s="71">
        <f>SUMIFS(RegisterChk[Withdrawal (-)],RegisterChk[Transaction Month],"=" &amp;L$2,RegisterChk[Transaction Year],"="&amp;$C$1,RegisterChk[Category],"=" &amp;$A114)</f>
        <v>0</v>
      </c>
      <c r="M115" s="71">
        <f>SUMIFS(RegisterChk[Withdrawal (-)],RegisterChk[Transaction Month],"=" &amp;M$2,RegisterChk[Transaction Year],"="&amp;$C$1,RegisterChk[Category],"=" &amp;$A114)</f>
        <v>0</v>
      </c>
      <c r="N115" s="72">
        <f>SUM(tblExpenseCategory_15[[#This Row],[jan]:[dec]])</f>
        <v>0</v>
      </c>
      <c r="O115" s="72">
        <f t="shared" ref="O115:O117" ca="1" si="29">SUM(B115:M115)/MONTH(NOW())</f>
        <v>0</v>
      </c>
    </row>
    <row r="116" spans="1:15" ht="16.5" customHeight="1" x14ac:dyDescent="0.25">
      <c r="A116" s="57"/>
      <c r="B116" s="71">
        <f>SUMIFS(RegisterChk[Withdrawal (-)],RegisterChk[Transaction Month],"=" &amp;B$2,RegisterChk[Transaction Year],"="&amp;$C$1,RegisterChk[Category],"=" &amp;$A115)</f>
        <v>0</v>
      </c>
      <c r="C116" s="71">
        <f>SUMIFS(RegisterChk[Withdrawal (-)],RegisterChk[Transaction Month],"=" &amp;C$2,RegisterChk[Transaction Year],"="&amp;$C$1,RegisterChk[Category],"=" &amp;$A115)</f>
        <v>0</v>
      </c>
      <c r="D116" s="71">
        <f>SUMIFS(RegisterChk[Withdrawal (-)],RegisterChk[Transaction Month],"=" &amp;D$2,RegisterChk[Transaction Year],"="&amp;$C$1,RegisterChk[Category],"=" &amp;$A115)</f>
        <v>0</v>
      </c>
      <c r="E116" s="71">
        <f>SUMIFS(RegisterChk[Withdrawal (-)],RegisterChk[Transaction Month],"=" &amp;E$2,RegisterChk[Transaction Year],"="&amp;$C$1,RegisterChk[Category],"=" &amp;$A115)</f>
        <v>0</v>
      </c>
      <c r="F116" s="71">
        <f>SUMIFS(RegisterChk[Withdrawal (-)],RegisterChk[Transaction Month],"=" &amp;F$2,RegisterChk[Transaction Year],"="&amp;$C$1,RegisterChk[Category],"=" &amp;$A115)</f>
        <v>0</v>
      </c>
      <c r="G116" s="71">
        <f>SUMIFS(RegisterChk[Withdrawal (-)],RegisterChk[Transaction Month],"=" &amp;G$2,RegisterChk[Transaction Year],"="&amp;$C$1,RegisterChk[Category],"=" &amp;$A115)</f>
        <v>0</v>
      </c>
      <c r="H116" s="71">
        <f>SUMIFS(RegisterChk[Withdrawal (-)],RegisterChk[Transaction Month],"=" &amp;H$2,RegisterChk[Transaction Year],"="&amp;$C$1,RegisterChk[Category],"=" &amp;$A115)</f>
        <v>0</v>
      </c>
      <c r="I116" s="71">
        <f>SUMIFS(RegisterChk[Withdrawal (-)],RegisterChk[Transaction Month],"=" &amp;I$2,RegisterChk[Transaction Year],"="&amp;$C$1,RegisterChk[Category],"=" &amp;$A115)</f>
        <v>0</v>
      </c>
      <c r="J116" s="71">
        <f>SUMIFS(RegisterChk[Withdrawal (-)],RegisterChk[Transaction Month],"=" &amp;J$2,RegisterChk[Transaction Year],"="&amp;$C$1,RegisterChk[Category],"=" &amp;$A115)</f>
        <v>0</v>
      </c>
      <c r="K116" s="71">
        <f>SUMIFS(RegisterChk[Withdrawal (-)],RegisterChk[Transaction Month],"=" &amp;K$2,RegisterChk[Transaction Year],"="&amp;$C$1,RegisterChk[Category],"=" &amp;$A115)</f>
        <v>0</v>
      </c>
      <c r="L116" s="71">
        <f>SUMIFS(RegisterChk[Withdrawal (-)],RegisterChk[Transaction Month],"=" &amp;L$2,RegisterChk[Transaction Year],"="&amp;$C$1,RegisterChk[Category],"=" &amp;$A115)</f>
        <v>0</v>
      </c>
      <c r="M116" s="71">
        <f>SUMIFS(RegisterChk[Withdrawal (-)],RegisterChk[Transaction Month],"=" &amp;M$2,RegisterChk[Transaction Year],"="&amp;$C$1,RegisterChk[Category],"=" &amp;$A115)</f>
        <v>0</v>
      </c>
      <c r="N116" s="72">
        <f>SUM(tblExpenseCategory_15[[#This Row],[jan]:[dec]])</f>
        <v>0</v>
      </c>
      <c r="O116" s="72">
        <f t="shared" ca="1" si="29"/>
        <v>0</v>
      </c>
    </row>
    <row r="117" spans="1:15" ht="16.5" customHeight="1" x14ac:dyDescent="0.25">
      <c r="A117" s="57"/>
      <c r="B117" s="71">
        <f>SUMIFS(RegisterChk[Withdrawal (-)],RegisterChk[Transaction Month],"=" &amp;B$2,RegisterChk[Transaction Year],"="&amp;$C$1,RegisterChk[Category],"=" &amp;$A116)</f>
        <v>0</v>
      </c>
      <c r="C117" s="71">
        <f>SUMIFS(RegisterChk[Withdrawal (-)],RegisterChk[Transaction Month],"=" &amp;C$2,RegisterChk[Transaction Year],"="&amp;$C$1,RegisterChk[Category],"=" &amp;$A116)</f>
        <v>0</v>
      </c>
      <c r="D117" s="71">
        <f>SUMIFS(RegisterChk[Withdrawal (-)],RegisterChk[Transaction Month],"=" &amp;D$2,RegisterChk[Transaction Year],"="&amp;$C$1,RegisterChk[Category],"=" &amp;$A116)</f>
        <v>0</v>
      </c>
      <c r="E117" s="71">
        <f>SUMIFS(RegisterChk[Withdrawal (-)],RegisterChk[Transaction Month],"=" &amp;E$2,RegisterChk[Transaction Year],"="&amp;$C$1,RegisterChk[Category],"=" &amp;$A116)</f>
        <v>0</v>
      </c>
      <c r="F117" s="71">
        <f>SUMIFS(RegisterChk[Withdrawal (-)],RegisterChk[Transaction Month],"=" &amp;F$2,RegisterChk[Transaction Year],"="&amp;$C$1,RegisterChk[Category],"=" &amp;$A116)</f>
        <v>0</v>
      </c>
      <c r="G117" s="71">
        <f>SUMIFS(RegisterChk[Withdrawal (-)],RegisterChk[Transaction Month],"=" &amp;G$2,RegisterChk[Transaction Year],"="&amp;$C$1,RegisterChk[Category],"=" &amp;$A116)</f>
        <v>0</v>
      </c>
      <c r="H117" s="71">
        <f>SUMIFS(RegisterChk[Withdrawal (-)],RegisterChk[Transaction Month],"=" &amp;H$2,RegisterChk[Transaction Year],"="&amp;$C$1,RegisterChk[Category],"=" &amp;$A116)</f>
        <v>0</v>
      </c>
      <c r="I117" s="71">
        <f>SUMIFS(RegisterChk[Withdrawal (-)],RegisterChk[Transaction Month],"=" &amp;I$2,RegisterChk[Transaction Year],"="&amp;$C$1,RegisterChk[Category],"=" &amp;$A116)</f>
        <v>0</v>
      </c>
      <c r="J117" s="71">
        <f>SUMIFS(RegisterChk[Withdrawal (-)],RegisterChk[Transaction Month],"=" &amp;J$2,RegisterChk[Transaction Year],"="&amp;$C$1,RegisterChk[Category],"=" &amp;$A116)</f>
        <v>0</v>
      </c>
      <c r="K117" s="71">
        <f>SUMIFS(RegisterChk[Withdrawal (-)],RegisterChk[Transaction Month],"=" &amp;K$2,RegisterChk[Transaction Year],"="&amp;$C$1,RegisterChk[Category],"=" &amp;$A116)</f>
        <v>0</v>
      </c>
      <c r="L117" s="71">
        <f>SUMIFS(RegisterChk[Withdrawal (-)],RegisterChk[Transaction Month],"=" &amp;L$2,RegisterChk[Transaction Year],"="&amp;$C$1,RegisterChk[Category],"=" &amp;$A116)</f>
        <v>0</v>
      </c>
      <c r="M117" s="71">
        <f>SUMIFS(RegisterChk[Withdrawal (-)],RegisterChk[Transaction Month],"=" &amp;M$2,RegisterChk[Transaction Year],"="&amp;$C$1,RegisterChk[Category],"=" &amp;$A116)</f>
        <v>0</v>
      </c>
      <c r="N117" s="72">
        <f>SUM(tblExpenseCategory_15[[#This Row],[jan]:[dec]])</f>
        <v>0</v>
      </c>
      <c r="O117" s="72">
        <f t="shared" ca="1" si="29"/>
        <v>0</v>
      </c>
    </row>
    <row r="118" spans="1:15" ht="16.5" customHeight="1" x14ac:dyDescent="0.25">
      <c r="A118" s="116" t="str">
        <f>UPPER("Total " &amp; A114)</f>
        <v xml:space="preserve">TOTAL  </v>
      </c>
      <c r="B118" s="117">
        <f>SUM(tblExpenseCategory_15[jan])</f>
        <v>0</v>
      </c>
      <c r="C118" s="117">
        <f>SUM(tblExpenseCategory_15[feb])</f>
        <v>0</v>
      </c>
      <c r="D118" s="117">
        <f>SUM(tblExpenseCategory_15[mar])</f>
        <v>0</v>
      </c>
      <c r="E118" s="117">
        <f>SUM(tblExpenseCategory_15[apr])</f>
        <v>0</v>
      </c>
      <c r="F118" s="117">
        <f>SUM(tblExpenseCategory_15[may])</f>
        <v>0</v>
      </c>
      <c r="G118" s="117">
        <f>SUM(tblExpenseCategory_15[jun])</f>
        <v>0</v>
      </c>
      <c r="H118" s="117">
        <f>SUM(tblExpenseCategory_15[jul])</f>
        <v>0</v>
      </c>
      <c r="I118" s="117">
        <f>SUM(tblExpenseCategory_15[aug])</f>
        <v>0</v>
      </c>
      <c r="J118" s="117">
        <f>SUM(tblExpenseCategory_15[sep])</f>
        <v>0</v>
      </c>
      <c r="K118" s="117">
        <f>SUM(tblExpenseCategory_15[oct])</f>
        <v>0</v>
      </c>
      <c r="L118" s="117">
        <f>SUM(tblExpenseCategory_15[nov])</f>
        <v>0</v>
      </c>
      <c r="M118" s="117">
        <f>SUM(tblExpenseCategory_15[dec])</f>
        <v>0</v>
      </c>
      <c r="N118" s="118">
        <f>SUM(tblExpenseCategory_15[year])</f>
        <v>0</v>
      </c>
      <c r="O118" s="118">
        <f t="shared" ref="O118" ca="1" si="30">SUM(B118:M118)/MONTH(NOW())</f>
        <v>0</v>
      </c>
    </row>
  </sheetData>
  <mergeCells count="15">
    <mergeCell ref="A98:M98"/>
    <mergeCell ref="A105:M105"/>
    <mergeCell ref="A112:M112"/>
    <mergeCell ref="A56:M56"/>
    <mergeCell ref="A63:M63"/>
    <mergeCell ref="A70:M70"/>
    <mergeCell ref="A77:M77"/>
    <mergeCell ref="A84:M84"/>
    <mergeCell ref="A91:M91"/>
    <mergeCell ref="A49:M49"/>
    <mergeCell ref="A14:M14"/>
    <mergeCell ref="A21:M21"/>
    <mergeCell ref="A28:M28"/>
    <mergeCell ref="A35:M35"/>
    <mergeCell ref="A42:M42"/>
  </mergeCells>
  <dataValidations count="7">
    <dataValidation type="list" allowBlank="1" sqref="A115:A117">
      <formula1>expense_category_list_15</formula1>
    </dataValidation>
    <dataValidation type="list" allowBlank="1" sqref="A108:A110">
      <formula1>expense_category_list_14</formula1>
    </dataValidation>
    <dataValidation type="list" allowBlank="1" sqref="A101:A103">
      <formula1>expense_category_list_13</formula1>
    </dataValidation>
    <dataValidation type="list" allowBlank="1" sqref="A16 A23 A30 A37 A44 A51 A58 A65 A72 A79 A86 A93 A100 A107 A114">
      <formula1>expense_categories</formula1>
    </dataValidation>
    <dataValidation type="list" allowBlank="1" sqref="A12">
      <formula1>income</formula1>
    </dataValidation>
    <dataValidation type="list" allowBlank="1" sqref="A17:A19 A24:A26 A31:A33 A38:A40 A45:A47 A52:A54 A59:A61 A87:A89 A66:A68 A73:A75 A80:A82 A94:A96">
      <formula1>AccountLookup</formula1>
    </dataValidation>
    <dataValidation type="list" allowBlank="1" showInputMessage="1" showErrorMessage="1" sqref="C1">
      <formula1>Years_Lookup</formula1>
    </dataValidation>
  </dataValidations>
  <pageMargins left="0.7" right="0.7" top="0.75" bottom="0.75" header="0.3" footer="0.3"/>
  <pageSetup scale="77" fitToHeight="0" orientation="landscape" r:id="rId1"/>
  <drawing r:id="rId2"/>
  <picture r:id="rId3"/>
  <tableParts count="16">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7"/>
  <sheetViews>
    <sheetView workbookViewId="0">
      <selection activeCell="A2" sqref="A2"/>
    </sheetView>
  </sheetViews>
  <sheetFormatPr defaultColWidth="8.85546875" defaultRowHeight="15" x14ac:dyDescent="0.25"/>
  <cols>
    <col min="1" max="1" width="24.5703125" style="3" customWidth="1"/>
    <col min="2" max="3" width="8.85546875" style="28"/>
    <col min="4" max="4" width="17.5703125" style="28" customWidth="1"/>
    <col min="5" max="5" width="7.85546875" style="28" customWidth="1"/>
    <col min="6" max="6" width="22.5703125" style="28" customWidth="1"/>
    <col min="7" max="7" width="8.85546875" style="28"/>
    <col min="8" max="9" width="10" style="28" customWidth="1"/>
    <col min="10" max="10" width="14.5703125" style="28" customWidth="1"/>
    <col min="11" max="16384" width="8.85546875" style="28"/>
  </cols>
  <sheetData>
    <row r="1" spans="1:12" s="87" customFormat="1" ht="34.5" customHeight="1" x14ac:dyDescent="0.25">
      <c r="A1" s="24" t="str">
        <f ca="1">"John Smith"&amp; " "&amp; YEAR(NOW())</f>
        <v>John Smith 2017</v>
      </c>
      <c r="B1" s="84"/>
      <c r="C1" s="85"/>
      <c r="D1" s="86"/>
      <c r="E1" s="83"/>
      <c r="F1" s="83"/>
      <c r="G1" s="83"/>
      <c r="H1" s="83"/>
      <c r="I1" s="83"/>
      <c r="J1" s="83"/>
      <c r="K1" s="83"/>
      <c r="L1" s="83"/>
    </row>
    <row r="2" spans="1:12" s="44" customFormat="1" ht="21" x14ac:dyDescent="0.3">
      <c r="A2" s="24" t="s">
        <v>17</v>
      </c>
      <c r="D2" s="44" t="s">
        <v>31</v>
      </c>
      <c r="E2" s="44" t="s">
        <v>32</v>
      </c>
      <c r="G2" s="79" t="s">
        <v>94</v>
      </c>
      <c r="I2" s="44" t="s">
        <v>84</v>
      </c>
      <c r="K2" s="44" t="s">
        <v>106</v>
      </c>
    </row>
    <row r="3" spans="1:12" x14ac:dyDescent="0.25">
      <c r="A3" s="114" t="s">
        <v>104</v>
      </c>
      <c r="B3" s="33" t="s">
        <v>4</v>
      </c>
      <c r="C3" s="33"/>
      <c r="D3" s="28" t="s">
        <v>33</v>
      </c>
      <c r="E3" s="28" t="s">
        <v>36</v>
      </c>
      <c r="G3" s="28">
        <v>1</v>
      </c>
      <c r="H3" s="28" t="s">
        <v>71</v>
      </c>
      <c r="I3" s="28" t="str">
        <f>Checking!$A$1</f>
        <v>Checking</v>
      </c>
      <c r="K3" s="28">
        <v>2014</v>
      </c>
    </row>
    <row r="4" spans="1:12" x14ac:dyDescent="0.25">
      <c r="A4" s="33"/>
      <c r="B4" s="33" t="s">
        <v>9</v>
      </c>
      <c r="C4" s="33"/>
      <c r="D4" s="28" t="s">
        <v>34</v>
      </c>
      <c r="E4" s="28" t="s">
        <v>37</v>
      </c>
      <c r="G4" s="28">
        <v>2</v>
      </c>
      <c r="H4" s="28" t="s">
        <v>72</v>
      </c>
      <c r="I4" s="28" t="str">
        <f>'Credit Card 1'!$A$1</f>
        <v>Credit Card 1</v>
      </c>
      <c r="K4" s="28">
        <v>2015</v>
      </c>
    </row>
    <row r="5" spans="1:12" x14ac:dyDescent="0.25">
      <c r="A5" s="33"/>
      <c r="B5" s="33" t="s">
        <v>18</v>
      </c>
      <c r="C5" s="33"/>
      <c r="D5" s="28" t="s">
        <v>35</v>
      </c>
      <c r="E5" s="28" t="s">
        <v>38</v>
      </c>
      <c r="G5" s="28">
        <v>3</v>
      </c>
      <c r="H5" s="28" t="s">
        <v>73</v>
      </c>
      <c r="I5" s="28" t="str">
        <f>'Credit Card 2'!$A$1</f>
        <v>Credit Card 2</v>
      </c>
      <c r="K5" s="28">
        <v>2016</v>
      </c>
    </row>
    <row r="6" spans="1:12" x14ac:dyDescent="0.25">
      <c r="A6" s="33"/>
      <c r="B6" s="33" t="s">
        <v>29</v>
      </c>
      <c r="C6" s="33"/>
      <c r="D6" s="28" t="s">
        <v>30</v>
      </c>
      <c r="E6" s="28" t="s">
        <v>39</v>
      </c>
      <c r="G6" s="28">
        <v>4</v>
      </c>
      <c r="H6" s="28" t="s">
        <v>74</v>
      </c>
      <c r="K6" s="28">
        <v>2017</v>
      </c>
    </row>
    <row r="7" spans="1:12" x14ac:dyDescent="0.25">
      <c r="A7" s="33"/>
      <c r="B7" s="33" t="s">
        <v>11</v>
      </c>
      <c r="C7" s="33"/>
      <c r="D7" s="28" t="s">
        <v>44</v>
      </c>
      <c r="E7" s="28" t="s">
        <v>45</v>
      </c>
      <c r="G7" s="28">
        <v>5</v>
      </c>
      <c r="H7" s="28" t="s">
        <v>70</v>
      </c>
      <c r="K7" s="28">
        <v>2018</v>
      </c>
    </row>
    <row r="8" spans="1:12" x14ac:dyDescent="0.25">
      <c r="A8" s="33"/>
      <c r="B8" s="33" t="s">
        <v>19</v>
      </c>
      <c r="C8" s="33"/>
      <c r="D8" s="28" t="s">
        <v>40</v>
      </c>
      <c r="E8" s="28" t="s">
        <v>41</v>
      </c>
      <c r="G8" s="28">
        <v>6</v>
      </c>
      <c r="H8" s="28" t="s">
        <v>75</v>
      </c>
      <c r="K8" s="28">
        <v>2019</v>
      </c>
    </row>
    <row r="9" spans="1:12" x14ac:dyDescent="0.25">
      <c r="A9" s="33"/>
      <c r="B9" s="33" t="s">
        <v>10</v>
      </c>
      <c r="C9" s="33"/>
      <c r="D9" s="28" t="s">
        <v>42</v>
      </c>
      <c r="E9" s="28" t="s">
        <v>43</v>
      </c>
      <c r="G9" s="28">
        <v>7</v>
      </c>
      <c r="H9" s="28" t="s">
        <v>86</v>
      </c>
      <c r="K9" s="28">
        <v>2020</v>
      </c>
    </row>
    <row r="10" spans="1:12" x14ac:dyDescent="0.25">
      <c r="A10" s="33"/>
      <c r="B10" s="36" t="s">
        <v>21</v>
      </c>
      <c r="C10" s="36"/>
      <c r="D10" s="28" t="s">
        <v>46</v>
      </c>
      <c r="E10" s="28" t="s">
        <v>47</v>
      </c>
      <c r="G10" s="28">
        <v>8</v>
      </c>
      <c r="H10" s="28" t="s">
        <v>87</v>
      </c>
    </row>
    <row r="11" spans="1:12" x14ac:dyDescent="0.25">
      <c r="A11" s="33"/>
      <c r="B11" s="40" t="s">
        <v>20</v>
      </c>
      <c r="C11" s="40"/>
      <c r="D11" s="28" t="s">
        <v>50</v>
      </c>
      <c r="E11" s="28" t="s">
        <v>48</v>
      </c>
      <c r="G11" s="28">
        <v>9</v>
      </c>
      <c r="H11" s="28" t="s">
        <v>88</v>
      </c>
    </row>
    <row r="12" spans="1:12" x14ac:dyDescent="0.25">
      <c r="A12" s="33"/>
      <c r="B12" s="40" t="s">
        <v>22</v>
      </c>
      <c r="C12" s="40"/>
      <c r="D12" s="28" t="s">
        <v>49</v>
      </c>
      <c r="E12" s="28" t="s">
        <v>51</v>
      </c>
      <c r="G12" s="28">
        <v>10</v>
      </c>
      <c r="H12" s="28" t="s">
        <v>89</v>
      </c>
    </row>
    <row r="13" spans="1:12" x14ac:dyDescent="0.25">
      <c r="A13" s="33"/>
      <c r="B13" s="40" t="s">
        <v>25</v>
      </c>
      <c r="C13" s="40"/>
      <c r="D13" s="28" t="s">
        <v>52</v>
      </c>
      <c r="E13" s="28" t="s">
        <v>53</v>
      </c>
      <c r="G13" s="28">
        <v>11</v>
      </c>
      <c r="H13" s="28" t="s">
        <v>90</v>
      </c>
      <c r="K13" s="112"/>
    </row>
    <row r="14" spans="1:12" x14ac:dyDescent="0.25">
      <c r="A14" s="33"/>
      <c r="B14" s="40" t="s">
        <v>26</v>
      </c>
      <c r="C14" s="40"/>
      <c r="D14" s="28" t="s">
        <v>54</v>
      </c>
      <c r="E14" s="28" t="s">
        <v>55</v>
      </c>
      <c r="G14" s="28">
        <v>12</v>
      </c>
      <c r="H14" s="28" t="s">
        <v>91</v>
      </c>
    </row>
    <row r="15" spans="1:12" x14ac:dyDescent="0.25">
      <c r="A15" s="33"/>
      <c r="B15" s="40" t="s">
        <v>64</v>
      </c>
      <c r="C15" s="40"/>
      <c r="D15" s="28" t="s">
        <v>56</v>
      </c>
      <c r="E15" s="28" t="s">
        <v>57</v>
      </c>
      <c r="G15" s="28">
        <v>13</v>
      </c>
      <c r="H15" s="28" t="s">
        <v>92</v>
      </c>
    </row>
    <row r="16" spans="1:12" x14ac:dyDescent="0.25">
      <c r="A16" s="33"/>
      <c r="B16" s="40" t="s">
        <v>12</v>
      </c>
      <c r="C16" s="40"/>
      <c r="D16" s="28" t="s">
        <v>58</v>
      </c>
      <c r="E16" s="28" t="s">
        <v>59</v>
      </c>
    </row>
    <row r="17" spans="1:8" x14ac:dyDescent="0.25">
      <c r="A17" s="33"/>
      <c r="B17" s="113" t="s">
        <v>103</v>
      </c>
      <c r="C17" s="113"/>
      <c r="D17" s="28" t="s">
        <v>60</v>
      </c>
      <c r="E17" s="28" t="s">
        <v>61</v>
      </c>
    </row>
    <row r="18" spans="1:8" x14ac:dyDescent="0.25">
      <c r="A18" s="33"/>
      <c r="B18" s="40" t="s">
        <v>23</v>
      </c>
      <c r="C18" s="40"/>
      <c r="D18" s="28" t="s">
        <v>108</v>
      </c>
      <c r="E18" s="28" t="s">
        <v>109</v>
      </c>
    </row>
    <row r="19" spans="1:8" x14ac:dyDescent="0.25">
      <c r="A19" s="33"/>
      <c r="B19" s="40" t="s">
        <v>24</v>
      </c>
      <c r="C19" s="40"/>
    </row>
    <row r="20" spans="1:8" x14ac:dyDescent="0.25">
      <c r="A20" s="11"/>
    </row>
    <row r="21" spans="1:8" x14ac:dyDescent="0.25">
      <c r="A21" s="11"/>
    </row>
    <row r="22" spans="1:8" ht="14.45" customHeight="1" x14ac:dyDescent="0.25">
      <c r="A22" s="12"/>
    </row>
    <row r="23" spans="1:8" x14ac:dyDescent="0.25">
      <c r="B23" s="135" t="s">
        <v>101</v>
      </c>
      <c r="C23" s="135"/>
      <c r="D23" s="135"/>
      <c r="E23" s="135"/>
      <c r="F23" s="135"/>
      <c r="G23" s="135"/>
      <c r="H23" s="135"/>
    </row>
    <row r="24" spans="1:8" x14ac:dyDescent="0.25">
      <c r="B24" s="135"/>
      <c r="C24" s="135"/>
      <c r="D24" s="135"/>
      <c r="E24" s="135"/>
      <c r="F24" s="135"/>
      <c r="G24" s="135"/>
      <c r="H24" s="135"/>
    </row>
    <row r="25" spans="1:8" x14ac:dyDescent="0.25">
      <c r="B25" s="135"/>
      <c r="C25" s="135"/>
      <c r="D25" s="135"/>
      <c r="E25" s="135"/>
      <c r="F25" s="135"/>
      <c r="G25" s="135"/>
      <c r="H25" s="135"/>
    </row>
    <row r="26" spans="1:8" x14ac:dyDescent="0.25">
      <c r="B26" s="135"/>
      <c r="C26" s="135"/>
      <c r="D26" s="135"/>
      <c r="E26" s="135"/>
      <c r="F26" s="135"/>
      <c r="G26" s="135"/>
      <c r="H26" s="135"/>
    </row>
    <row r="27" spans="1:8" x14ac:dyDescent="0.25">
      <c r="B27" s="135"/>
      <c r="C27" s="135"/>
      <c r="D27" s="135"/>
      <c r="E27" s="135"/>
      <c r="F27" s="135"/>
      <c r="G27" s="135"/>
      <c r="H27" s="135"/>
    </row>
  </sheetData>
  <mergeCells count="1">
    <mergeCell ref="B23:H27"/>
  </mergeCell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26</vt:i4>
      </vt:variant>
    </vt:vector>
  </HeadingPairs>
  <TitlesOfParts>
    <vt:vector size="32" baseType="lpstr">
      <vt:lpstr>Dashboard</vt:lpstr>
      <vt:lpstr>Checking</vt:lpstr>
      <vt:lpstr>Credit Card 1</vt:lpstr>
      <vt:lpstr>Credit Card 2</vt:lpstr>
      <vt:lpstr>Budget</vt:lpstr>
      <vt:lpstr>Setup</vt:lpstr>
      <vt:lpstr>AccountLookup</vt:lpstr>
      <vt:lpstr>BudgetMonths</vt:lpstr>
      <vt:lpstr>BudgetName</vt:lpstr>
      <vt:lpstr>CategoryLookup</vt:lpstr>
      <vt:lpstr>chtTitle</vt:lpstr>
      <vt:lpstr>dashboard_period</vt:lpstr>
      <vt:lpstr>expense_categories</vt:lpstr>
      <vt:lpstr>income</vt:lpstr>
      <vt:lpstr>'Credit Card 2'!Max_Limit</vt:lpstr>
      <vt:lpstr>Max_Limit</vt:lpstr>
      <vt:lpstr>MonthNames</vt:lpstr>
      <vt:lpstr>Net_Income</vt:lpstr>
      <vt:lpstr>PeriodLookup</vt:lpstr>
      <vt:lpstr>Budget!Print_Titles</vt:lpstr>
      <vt:lpstr>Checking!Print_Titles</vt:lpstr>
      <vt:lpstr>'Credit Card 1'!Print_Titles</vt:lpstr>
      <vt:lpstr>'Credit Card 2'!Print_Titles</vt:lpstr>
      <vt:lpstr>start_period</vt:lpstr>
      <vt:lpstr>StartingBalance</vt:lpstr>
      <vt:lpstr>TOTAL_CASH_FLOW</vt:lpstr>
      <vt:lpstr>Total_Expense</vt:lpstr>
      <vt:lpstr>Total_Income</vt:lpstr>
      <vt:lpstr>'Credit Card 1'!Transaction</vt:lpstr>
      <vt:lpstr>'Credit Card 2'!Transaction</vt:lpstr>
      <vt:lpstr>Transaction</vt:lpstr>
      <vt:lpstr>Years_Lookup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2017-03-04T22:33:16Z</dcterms:created>
  <dcterms:modified xsi:type="dcterms:W3CDTF">2017-03-05T18:29:41Z</dcterms:modified>
</cp:coreProperties>
</file>